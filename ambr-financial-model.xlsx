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Scenario Analysis" sheetId="3" state="visible" r:id="rId3"/>
    <sheet xmlns:r="http://schemas.openxmlformats.org/officeDocument/2006/relationships" name="Current Snapsh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;&quot;-&quot;"/>
    <numFmt numFmtId="165" formatCode="#,##0;(#,##0);&quot;-&quot;"/>
    <numFmt numFmtId="166" formatCode="$#,##0.00;($#,##0.00);&quot;-&quot;"/>
    <numFmt numFmtId="167" formatCode="$#,##0;($#,##0);&quot;-&quot;"/>
    <numFmt numFmtId="168" formatCode="$#,##0.000;($#,##0.00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0000"/>
      <sz val="11"/>
    </font>
    <font>
      <name val="Arial"/>
      <color rgb="000000FF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0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164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7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4" borderId="1" pivotButton="0" quotePrefix="0" xfId="0"/>
    <xf numFmtId="165" fontId="4" fillId="0" borderId="0" pivotButton="0" quotePrefix="0" xfId="0"/>
    <xf numFmtId="165" fontId="7" fillId="0" borderId="0" pivotButton="0" quotePrefix="0" xfId="0"/>
    <xf numFmtId="0" fontId="4" fillId="5" borderId="1" pivotButton="0" quotePrefix="0" xfId="0"/>
    <xf numFmtId="167" fontId="4" fillId="0" borderId="0" pivotButton="0" quotePrefix="0" xfId="0"/>
    <xf numFmtId="0" fontId="8" fillId="6" borderId="2" pivotButton="0" quotePrefix="0" xfId="0"/>
    <xf numFmtId="167" fontId="8" fillId="6" borderId="2" pivotButton="0" quotePrefix="0" xfId="0"/>
    <xf numFmtId="0" fontId="4" fillId="7" borderId="1" pivotButton="0" quotePrefix="0" xfId="0"/>
    <xf numFmtId="167" fontId="7" fillId="0" borderId="0" pivotButton="0" quotePrefix="0" xfId="0"/>
    <xf numFmtId="167" fontId="8" fillId="0" borderId="0" pivotButton="0" quotePrefix="0" xfId="0"/>
    <xf numFmtId="164" fontId="8" fillId="0" borderId="0" pivotButton="0" quotePrefix="0" xfId="0"/>
    <xf numFmtId="0" fontId="4" fillId="0" borderId="0" pivotButton="0" quotePrefix="0" xfId="0"/>
    <xf numFmtId="168" fontId="7" fillId="0" borderId="0" pivotButton="0" quotePrefix="0" xfId="0"/>
    <xf numFmtId="0" fontId="8" fillId="7" borderId="0" pivotButton="0" quotePrefix="0" xfId="0"/>
    <xf numFmtId="168" fontId="8" fillId="7" borderId="0" pivotButton="0" quotePrefix="0" xfId="0"/>
    <xf numFmtId="0" fontId="8" fillId="5" borderId="0" pivotButton="0" quotePrefix="0" xfId="0"/>
    <xf numFmtId="166" fontId="5" fillId="5" borderId="0" pivotButton="0" quotePrefix="0" xfId="0"/>
    <xf numFmtId="0" fontId="8" fillId="6" borderId="0" pivotButton="0" quotePrefix="0" xfId="0"/>
    <xf numFmtId="166" fontId="8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166" fontId="7" fillId="3" borderId="0" applyAlignment="1" pivotButton="0" quotePrefix="0" xfId="0">
      <alignment horizontal="center" vertical="center"/>
    </xf>
    <xf numFmtId="0" fontId="4" fillId="5" borderId="0" pivotButton="0" quotePrefix="0" xfId="0"/>
    <xf numFmtId="167" fontId="4" fillId="5" borderId="0" applyAlignment="1" pivotButton="0" quotePrefix="0" xfId="0">
      <alignment horizontal="center" vertical="center"/>
    </xf>
    <xf numFmtId="0" fontId="4" fillId="7" borderId="0" pivotButton="0" quotePrefix="0" xfId="0"/>
    <xf numFmtId="167" fontId="4" fillId="7" borderId="0" applyAlignment="1" pivotButton="0" quotePrefix="0" xfId="0">
      <alignment horizontal="center" vertical="center"/>
    </xf>
    <xf numFmtId="167" fontId="8" fillId="6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7" fontId="8" fillId="6" borderId="0" pivotButton="0" quotePrefix="0" xfId="0"/>
    <xf numFmtId="165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AL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AMBR FINANCIAL MODEL</t>
        </is>
      </c>
    </row>
    <row r="2">
      <c r="A2" s="2" t="inlineStr">
        <is>
          <t>Monthly P&amp;L - 36 Month Projection</t>
        </is>
      </c>
    </row>
    <row r="4">
      <c r="A4" s="3" t="inlineStr"/>
      <c r="B4" s="3" t="inlineStr">
        <is>
          <t>Assumptions</t>
        </is>
      </c>
      <c r="C4" s="3" t="inlineStr">
        <is>
          <t>M1</t>
        </is>
      </c>
      <c r="D4" s="3" t="inlineStr">
        <is>
          <t>M2</t>
        </is>
      </c>
      <c r="E4" s="3" t="inlineStr">
        <is>
          <t>M3</t>
        </is>
      </c>
      <c r="F4" s="3" t="inlineStr">
        <is>
          <t>M4</t>
        </is>
      </c>
      <c r="G4" s="3" t="inlineStr">
        <is>
          <t>M5</t>
        </is>
      </c>
      <c r="H4" s="3" t="inlineStr">
        <is>
          <t>M6</t>
        </is>
      </c>
      <c r="I4" s="3" t="inlineStr">
        <is>
          <t>M7</t>
        </is>
      </c>
      <c r="J4" s="3" t="inlineStr">
        <is>
          <t>M8</t>
        </is>
      </c>
      <c r="K4" s="3" t="inlineStr">
        <is>
          <t>M9</t>
        </is>
      </c>
      <c r="L4" s="3" t="inlineStr">
        <is>
          <t>M10</t>
        </is>
      </c>
      <c r="M4" s="3" t="inlineStr">
        <is>
          <t>M11</t>
        </is>
      </c>
      <c r="N4" s="3" t="inlineStr">
        <is>
          <t>M12</t>
        </is>
      </c>
      <c r="O4" s="3" t="inlineStr">
        <is>
          <t>M13</t>
        </is>
      </c>
      <c r="P4" s="3" t="inlineStr">
        <is>
          <t>M14</t>
        </is>
      </c>
      <c r="Q4" s="3" t="inlineStr">
        <is>
          <t>M15</t>
        </is>
      </c>
      <c r="R4" s="3" t="inlineStr">
        <is>
          <t>M16</t>
        </is>
      </c>
      <c r="S4" s="3" t="inlineStr">
        <is>
          <t>M17</t>
        </is>
      </c>
      <c r="T4" s="3" t="inlineStr">
        <is>
          <t>M18</t>
        </is>
      </c>
      <c r="U4" s="3" t="inlineStr">
        <is>
          <t>M19</t>
        </is>
      </c>
      <c r="V4" s="3" t="inlineStr">
        <is>
          <t>M20</t>
        </is>
      </c>
      <c r="W4" s="3" t="inlineStr">
        <is>
          <t>M21</t>
        </is>
      </c>
      <c r="X4" s="3" t="inlineStr">
        <is>
          <t>M22</t>
        </is>
      </c>
      <c r="Y4" s="3" t="inlineStr">
        <is>
          <t>M23</t>
        </is>
      </c>
      <c r="Z4" s="3" t="inlineStr">
        <is>
          <t>M24</t>
        </is>
      </c>
      <c r="AA4" s="3" t="inlineStr">
        <is>
          <t>M25</t>
        </is>
      </c>
      <c r="AB4" s="3" t="inlineStr">
        <is>
          <t>M26</t>
        </is>
      </c>
      <c r="AC4" s="3" t="inlineStr">
        <is>
          <t>M27</t>
        </is>
      </c>
      <c r="AD4" s="3" t="inlineStr">
        <is>
          <t>M28</t>
        </is>
      </c>
      <c r="AE4" s="3" t="inlineStr">
        <is>
          <t>M29</t>
        </is>
      </c>
      <c r="AF4" s="3" t="inlineStr">
        <is>
          <t>M30</t>
        </is>
      </c>
      <c r="AG4" s="3" t="inlineStr">
        <is>
          <t>M31</t>
        </is>
      </c>
      <c r="AH4" s="3" t="inlineStr">
        <is>
          <t>M32</t>
        </is>
      </c>
      <c r="AI4" s="3" t="inlineStr">
        <is>
          <t>M33</t>
        </is>
      </c>
      <c r="AJ4" s="3" t="inlineStr">
        <is>
          <t>M34</t>
        </is>
      </c>
      <c r="AK4" s="3" t="inlineStr">
        <is>
          <t>M35</t>
        </is>
      </c>
      <c r="AL4" s="3" t="inlineStr">
        <is>
          <t>M36</t>
        </is>
      </c>
    </row>
    <row r="5">
      <c r="A5" s="4" t="inlineStr">
        <is>
          <t>Monthly developer growth rate</t>
        </is>
      </c>
      <c r="B5" s="5" t="n">
        <v>0.15</v>
      </c>
    </row>
    <row r="6">
      <c r="A6" s="4" t="inlineStr">
        <is>
          <t>Starting developers</t>
        </is>
      </c>
      <c r="B6" s="6" t="n">
        <v>50</v>
      </c>
    </row>
    <row r="7">
      <c r="A7" s="4" t="inlineStr">
        <is>
          <t>Startup conversion rate</t>
        </is>
      </c>
      <c r="B7" s="5" t="n">
        <v>0.04</v>
      </c>
    </row>
    <row r="8">
      <c r="A8" s="4" t="inlineStr">
        <is>
          <t>Scale conversion rate</t>
        </is>
      </c>
      <c r="B8" s="5" t="n">
        <v>0.01</v>
      </c>
    </row>
    <row r="9">
      <c r="A9" s="4" t="inlineStr">
        <is>
          <t>Avg contracts/free dev/month</t>
        </is>
      </c>
      <c r="B9" s="6" t="n">
        <v>5</v>
      </c>
    </row>
    <row r="10">
      <c r="A10" s="4" t="inlineStr">
        <is>
          <t>Avg contract price (x402)</t>
        </is>
      </c>
      <c r="B10" s="7" t="n">
        <v>0.75</v>
      </c>
    </row>
    <row r="11">
      <c r="A11" s="4" t="inlineStr">
        <is>
          <t>Enterprise deal MRR</t>
        </is>
      </c>
      <c r="B11" s="8" t="n">
        <v>10000</v>
      </c>
    </row>
    <row r="13">
      <c r="A13" s="9" t="inlineStr">
        <is>
          <t>KEY METRICS</t>
        </is>
      </c>
    </row>
    <row r="14">
      <c r="A14" s="10" t="inlineStr">
        <is>
          <t>Total Developers</t>
        </is>
      </c>
      <c r="C14" s="11">
        <f>ROUND($B$6*(1+$B$5)^0,0)</f>
        <v/>
      </c>
      <c r="D14" s="11">
        <f>ROUND($B$6*(1+$B$5)^1,0)</f>
        <v/>
      </c>
      <c r="E14" s="11">
        <f>ROUND($B$6*(1+$B$5)^2,0)</f>
        <v/>
      </c>
      <c r="F14" s="11">
        <f>ROUND($B$6*(1+$B$5)^3,0)</f>
        <v/>
      </c>
      <c r="G14" s="11">
        <f>ROUND($B$6*(1+$B$5)^4,0)</f>
        <v/>
      </c>
      <c r="H14" s="11">
        <f>ROUND($B$6*(1+$B$5)^5,0)</f>
        <v/>
      </c>
      <c r="I14" s="11">
        <f>ROUND($B$6*(1+$B$5)^6,0)</f>
        <v/>
      </c>
      <c r="J14" s="11">
        <f>ROUND($B$6*(1+$B$5)^7,0)</f>
        <v/>
      </c>
      <c r="K14" s="11">
        <f>ROUND($B$6*(1+$B$5)^8,0)</f>
        <v/>
      </c>
      <c r="L14" s="11">
        <f>ROUND($B$6*(1+$B$5)^9,0)</f>
        <v/>
      </c>
      <c r="M14" s="11">
        <f>ROUND($B$6*(1+$B$5)^10,0)</f>
        <v/>
      </c>
      <c r="N14" s="11">
        <f>ROUND($B$6*(1+$B$5)^11,0)</f>
        <v/>
      </c>
      <c r="O14" s="11">
        <f>ROUND($B$6*(1+$B$5)^12,0)</f>
        <v/>
      </c>
      <c r="P14" s="11">
        <f>ROUND($B$6*(1+$B$5)^13,0)</f>
        <v/>
      </c>
      <c r="Q14" s="11">
        <f>ROUND($B$6*(1+$B$5)^14,0)</f>
        <v/>
      </c>
      <c r="R14" s="11">
        <f>ROUND($B$6*(1+$B$5)^15,0)</f>
        <v/>
      </c>
      <c r="S14" s="11">
        <f>ROUND($B$6*(1+$B$5)^16,0)</f>
        <v/>
      </c>
      <c r="T14" s="11">
        <f>ROUND($B$6*(1+$B$5)^17,0)</f>
        <v/>
      </c>
      <c r="U14" s="11">
        <f>ROUND($B$6*(1+$B$5)^18,0)</f>
        <v/>
      </c>
      <c r="V14" s="11">
        <f>ROUND($B$6*(1+$B$5)^19,0)</f>
        <v/>
      </c>
      <c r="W14" s="11">
        <f>ROUND($B$6*(1+$B$5)^20,0)</f>
        <v/>
      </c>
      <c r="X14" s="11">
        <f>ROUND($B$6*(1+$B$5)^21,0)</f>
        <v/>
      </c>
      <c r="Y14" s="11">
        <f>ROUND($B$6*(1+$B$5)^22,0)</f>
        <v/>
      </c>
      <c r="Z14" s="11">
        <f>ROUND($B$6*(1+$B$5)^23,0)</f>
        <v/>
      </c>
      <c r="AA14" s="11">
        <f>ROUND($B$6*(1+$B$5)^24,0)</f>
        <v/>
      </c>
      <c r="AB14" s="11">
        <f>ROUND($B$6*(1+$B$5)^25,0)</f>
        <v/>
      </c>
      <c r="AC14" s="11">
        <f>ROUND($B$6*(1+$B$5)^26,0)</f>
        <v/>
      </c>
      <c r="AD14" s="11">
        <f>ROUND($B$6*(1+$B$5)^27,0)</f>
        <v/>
      </c>
      <c r="AE14" s="11">
        <f>ROUND($B$6*(1+$B$5)^28,0)</f>
        <v/>
      </c>
      <c r="AF14" s="11">
        <f>ROUND($B$6*(1+$B$5)^29,0)</f>
        <v/>
      </c>
      <c r="AG14" s="11">
        <f>ROUND($B$6*(1+$B$5)^30,0)</f>
        <v/>
      </c>
      <c r="AH14" s="11">
        <f>ROUND($B$6*(1+$B$5)^31,0)</f>
        <v/>
      </c>
      <c r="AI14" s="11">
        <f>ROUND($B$6*(1+$B$5)^32,0)</f>
        <v/>
      </c>
      <c r="AJ14" s="11">
        <f>ROUND($B$6*(1+$B$5)^33,0)</f>
        <v/>
      </c>
      <c r="AK14" s="11">
        <f>ROUND($B$6*(1+$B$5)^34,0)</f>
        <v/>
      </c>
      <c r="AL14" s="11">
        <f>ROUND($B$6*(1+$B$5)^35,0)</f>
        <v/>
      </c>
    </row>
    <row r="15">
      <c r="A15" s="10" t="inlineStr">
        <is>
          <t>Free Developers</t>
        </is>
      </c>
      <c r="C15" s="11">
        <f>C14-C16-C17</f>
        <v/>
      </c>
      <c r="D15" s="11">
        <f>D14-D16-D17</f>
        <v/>
      </c>
      <c r="E15" s="11">
        <f>E14-E16-E17</f>
        <v/>
      </c>
      <c r="F15" s="11">
        <f>F14-F16-F17</f>
        <v/>
      </c>
      <c r="G15" s="11">
        <f>G14-G16-G17</f>
        <v/>
      </c>
      <c r="H15" s="11">
        <f>H14-H16-H17</f>
        <v/>
      </c>
      <c r="I15" s="11">
        <f>I14-I16-I17</f>
        <v/>
      </c>
      <c r="J15" s="11">
        <f>J14-J16-J17</f>
        <v/>
      </c>
      <c r="K15" s="11">
        <f>K14-K16-K17</f>
        <v/>
      </c>
      <c r="L15" s="11">
        <f>L14-L16-L17</f>
        <v/>
      </c>
      <c r="M15" s="11">
        <f>M14-M16-M17</f>
        <v/>
      </c>
      <c r="N15" s="11">
        <f>N14-N16-N17</f>
        <v/>
      </c>
      <c r="O15" s="11">
        <f>O14-O16-O17</f>
        <v/>
      </c>
      <c r="P15" s="11">
        <f>P14-P16-P17</f>
        <v/>
      </c>
      <c r="Q15" s="11">
        <f>Q14-Q16-Q17</f>
        <v/>
      </c>
      <c r="R15" s="11">
        <f>R14-R16-R17</f>
        <v/>
      </c>
      <c r="S15" s="11">
        <f>S14-S16-S17</f>
        <v/>
      </c>
      <c r="T15" s="11">
        <f>T14-T16-T17</f>
        <v/>
      </c>
      <c r="U15" s="11">
        <f>U14-U16-U17</f>
        <v/>
      </c>
      <c r="V15" s="11">
        <f>V14-V16-V17</f>
        <v/>
      </c>
      <c r="W15" s="11">
        <f>W14-W16-W17</f>
        <v/>
      </c>
      <c r="X15" s="11">
        <f>X14-X16-X17</f>
        <v/>
      </c>
      <c r="Y15" s="11">
        <f>Y14-Y16-Y17</f>
        <v/>
      </c>
      <c r="Z15" s="11">
        <f>Z14-Z16-Z17</f>
        <v/>
      </c>
      <c r="AA15" s="11">
        <f>AA14-AA16-AA17</f>
        <v/>
      </c>
      <c r="AB15" s="11">
        <f>AB14-AB16-AB17</f>
        <v/>
      </c>
      <c r="AC15" s="11">
        <f>AC14-AC16-AC17</f>
        <v/>
      </c>
      <c r="AD15" s="11">
        <f>AD14-AD16-AD17</f>
        <v/>
      </c>
      <c r="AE15" s="11">
        <f>AE14-AE16-AE17</f>
        <v/>
      </c>
      <c r="AF15" s="11">
        <f>AF14-AF16-AF17</f>
        <v/>
      </c>
      <c r="AG15" s="11">
        <f>AG14-AG16-AG17</f>
        <v/>
      </c>
      <c r="AH15" s="11">
        <f>AH14-AH16-AH17</f>
        <v/>
      </c>
      <c r="AI15" s="11">
        <f>AI14-AI16-AI17</f>
        <v/>
      </c>
      <c r="AJ15" s="11">
        <f>AJ14-AJ16-AJ17</f>
        <v/>
      </c>
      <c r="AK15" s="11">
        <f>AK14-AK16-AK17</f>
        <v/>
      </c>
      <c r="AL15" s="11">
        <f>AL14-AL16-AL17</f>
        <v/>
      </c>
    </row>
    <row r="16">
      <c r="A16" s="10" t="inlineStr">
        <is>
          <t>Startup Subscribers</t>
        </is>
      </c>
      <c r="C16" s="11">
        <f>ROUND(C14*$B$7,0)</f>
        <v/>
      </c>
      <c r="D16" s="11">
        <f>ROUND(D14*$B$7,0)</f>
        <v/>
      </c>
      <c r="E16" s="11">
        <f>ROUND(E14*$B$7,0)</f>
        <v/>
      </c>
      <c r="F16" s="11">
        <f>ROUND(F14*$B$7,0)</f>
        <v/>
      </c>
      <c r="G16" s="11">
        <f>ROUND(G14*$B$7,0)</f>
        <v/>
      </c>
      <c r="H16" s="11">
        <f>ROUND(H14*$B$7,0)</f>
        <v/>
      </c>
      <c r="I16" s="11">
        <f>ROUND(I14*$B$7,0)</f>
        <v/>
      </c>
      <c r="J16" s="11">
        <f>ROUND(J14*$B$7,0)</f>
        <v/>
      </c>
      <c r="K16" s="11">
        <f>ROUND(K14*$B$7,0)</f>
        <v/>
      </c>
      <c r="L16" s="11">
        <f>ROUND(L14*$B$7,0)</f>
        <v/>
      </c>
      <c r="M16" s="11">
        <f>ROUND(M14*$B$7,0)</f>
        <v/>
      </c>
      <c r="N16" s="11">
        <f>ROUND(N14*$B$7,0)</f>
        <v/>
      </c>
      <c r="O16" s="11">
        <f>ROUND(O14*$B$7,0)</f>
        <v/>
      </c>
      <c r="P16" s="11">
        <f>ROUND(P14*$B$7,0)</f>
        <v/>
      </c>
      <c r="Q16" s="11">
        <f>ROUND(Q14*$B$7,0)</f>
        <v/>
      </c>
      <c r="R16" s="11">
        <f>ROUND(R14*$B$7,0)</f>
        <v/>
      </c>
      <c r="S16" s="11">
        <f>ROUND(S14*$B$7,0)</f>
        <v/>
      </c>
      <c r="T16" s="11">
        <f>ROUND(T14*$B$7,0)</f>
        <v/>
      </c>
      <c r="U16" s="11">
        <f>ROUND(U14*$B$7,0)</f>
        <v/>
      </c>
      <c r="V16" s="11">
        <f>ROUND(V14*$B$7,0)</f>
        <v/>
      </c>
      <c r="W16" s="11">
        <f>ROUND(W14*$B$7,0)</f>
        <v/>
      </c>
      <c r="X16" s="11">
        <f>ROUND(X14*$B$7,0)</f>
        <v/>
      </c>
      <c r="Y16" s="11">
        <f>ROUND(Y14*$B$7,0)</f>
        <v/>
      </c>
      <c r="Z16" s="11">
        <f>ROUND(Z14*$B$7,0)</f>
        <v/>
      </c>
      <c r="AA16" s="11">
        <f>ROUND(AA14*$B$7,0)</f>
        <v/>
      </c>
      <c r="AB16" s="11">
        <f>ROUND(AB14*$B$7,0)</f>
        <v/>
      </c>
      <c r="AC16" s="11">
        <f>ROUND(AC14*$B$7,0)</f>
        <v/>
      </c>
      <c r="AD16" s="11">
        <f>ROUND(AD14*$B$7,0)</f>
        <v/>
      </c>
      <c r="AE16" s="11">
        <f>ROUND(AE14*$B$7,0)</f>
        <v/>
      </c>
      <c r="AF16" s="11">
        <f>ROUND(AF14*$B$7,0)</f>
        <v/>
      </c>
      <c r="AG16" s="11">
        <f>ROUND(AG14*$B$7,0)</f>
        <v/>
      </c>
      <c r="AH16" s="11">
        <f>ROUND(AH14*$B$7,0)</f>
        <v/>
      </c>
      <c r="AI16" s="11">
        <f>ROUND(AI14*$B$7,0)</f>
        <v/>
      </c>
      <c r="AJ16" s="11">
        <f>ROUND(AJ14*$B$7,0)</f>
        <v/>
      </c>
      <c r="AK16" s="11">
        <f>ROUND(AK14*$B$7,0)</f>
        <v/>
      </c>
      <c r="AL16" s="11">
        <f>ROUND(AL14*$B$7,0)</f>
        <v/>
      </c>
    </row>
    <row r="17">
      <c r="A17" s="10" t="inlineStr">
        <is>
          <t>Scale Subscribers</t>
        </is>
      </c>
      <c r="C17" s="11">
        <f>ROUND(C14*$B$8,0)</f>
        <v/>
      </c>
      <c r="D17" s="11">
        <f>ROUND(D14*$B$8,0)</f>
        <v/>
      </c>
      <c r="E17" s="11">
        <f>ROUND(E14*$B$8,0)</f>
        <v/>
      </c>
      <c r="F17" s="11">
        <f>ROUND(F14*$B$8,0)</f>
        <v/>
      </c>
      <c r="G17" s="11">
        <f>ROUND(G14*$B$8,0)</f>
        <v/>
      </c>
      <c r="H17" s="11">
        <f>ROUND(H14*$B$8,0)</f>
        <v/>
      </c>
      <c r="I17" s="11">
        <f>ROUND(I14*$B$8,0)</f>
        <v/>
      </c>
      <c r="J17" s="11">
        <f>ROUND(J14*$B$8,0)</f>
        <v/>
      </c>
      <c r="K17" s="11">
        <f>ROUND(K14*$B$8,0)</f>
        <v/>
      </c>
      <c r="L17" s="11">
        <f>ROUND(L14*$B$8,0)</f>
        <v/>
      </c>
      <c r="M17" s="11">
        <f>ROUND(M14*$B$8,0)</f>
        <v/>
      </c>
      <c r="N17" s="11">
        <f>ROUND(N14*$B$8,0)</f>
        <v/>
      </c>
      <c r="O17" s="11">
        <f>ROUND(O14*$B$8,0)</f>
        <v/>
      </c>
      <c r="P17" s="11">
        <f>ROUND(P14*$B$8,0)</f>
        <v/>
      </c>
      <c r="Q17" s="11">
        <f>ROUND(Q14*$B$8,0)</f>
        <v/>
      </c>
      <c r="R17" s="11">
        <f>ROUND(R14*$B$8,0)</f>
        <v/>
      </c>
      <c r="S17" s="11">
        <f>ROUND(S14*$B$8,0)</f>
        <v/>
      </c>
      <c r="T17" s="11">
        <f>ROUND(T14*$B$8,0)</f>
        <v/>
      </c>
      <c r="U17" s="11">
        <f>ROUND(U14*$B$8,0)</f>
        <v/>
      </c>
      <c r="V17" s="11">
        <f>ROUND(V14*$B$8,0)</f>
        <v/>
      </c>
      <c r="W17" s="11">
        <f>ROUND(W14*$B$8,0)</f>
        <v/>
      </c>
      <c r="X17" s="11">
        <f>ROUND(X14*$B$8,0)</f>
        <v/>
      </c>
      <c r="Y17" s="11">
        <f>ROUND(Y14*$B$8,0)</f>
        <v/>
      </c>
      <c r="Z17" s="11">
        <f>ROUND(Z14*$B$8,0)</f>
        <v/>
      </c>
      <c r="AA17" s="11">
        <f>ROUND(AA14*$B$8,0)</f>
        <v/>
      </c>
      <c r="AB17" s="11">
        <f>ROUND(AB14*$B$8,0)</f>
        <v/>
      </c>
      <c r="AC17" s="11">
        <f>ROUND(AC14*$B$8,0)</f>
        <v/>
      </c>
      <c r="AD17" s="11">
        <f>ROUND(AD14*$B$8,0)</f>
        <v/>
      </c>
      <c r="AE17" s="11">
        <f>ROUND(AE14*$B$8,0)</f>
        <v/>
      </c>
      <c r="AF17" s="11">
        <f>ROUND(AF14*$B$8,0)</f>
        <v/>
      </c>
      <c r="AG17" s="11">
        <f>ROUND(AG14*$B$8,0)</f>
        <v/>
      </c>
      <c r="AH17" s="11">
        <f>ROUND(AH14*$B$8,0)</f>
        <v/>
      </c>
      <c r="AI17" s="11">
        <f>ROUND(AI14*$B$8,0)</f>
        <v/>
      </c>
      <c r="AJ17" s="11">
        <f>ROUND(AJ14*$B$8,0)</f>
        <v/>
      </c>
      <c r="AK17" s="11">
        <f>ROUND(AK14*$B$8,0)</f>
        <v/>
      </c>
      <c r="AL17" s="11">
        <f>ROUND(AL14*$B$8,0)</f>
        <v/>
      </c>
    </row>
    <row r="18">
      <c r="A18" s="10" t="inlineStr">
        <is>
          <t>Enterprise Deals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1</v>
      </c>
      <c r="I18" s="12" t="n">
        <v>1</v>
      </c>
      <c r="J18" s="12" t="n">
        <v>2</v>
      </c>
      <c r="K18" s="12" t="n">
        <v>2</v>
      </c>
      <c r="L18" s="12" t="n">
        <v>3</v>
      </c>
      <c r="M18" s="12" t="n">
        <v>3</v>
      </c>
      <c r="N18" s="12" t="n">
        <v>3</v>
      </c>
      <c r="O18" s="12" t="n">
        <v>3</v>
      </c>
      <c r="P18" s="12" t="n">
        <v>3</v>
      </c>
      <c r="Q18" s="12" t="n">
        <v>4</v>
      </c>
      <c r="R18" s="12" t="n">
        <v>4</v>
      </c>
      <c r="S18" s="12" t="n">
        <v>4</v>
      </c>
      <c r="T18" s="12" t="n">
        <v>5</v>
      </c>
      <c r="U18" s="12" t="n">
        <v>5</v>
      </c>
      <c r="V18" s="12" t="n">
        <v>5</v>
      </c>
      <c r="W18" s="12" t="n">
        <v>6</v>
      </c>
      <c r="X18" s="12" t="n">
        <v>6</v>
      </c>
      <c r="Y18" s="12" t="n">
        <v>6</v>
      </c>
      <c r="Z18" s="12" t="n">
        <v>7</v>
      </c>
      <c r="AA18" s="12" t="n">
        <v>8</v>
      </c>
      <c r="AB18" s="12" t="n">
        <v>9</v>
      </c>
      <c r="AC18" s="12" t="n">
        <v>9</v>
      </c>
      <c r="AD18" s="12" t="n">
        <v>10</v>
      </c>
      <c r="AE18" s="12" t="n">
        <v>10</v>
      </c>
      <c r="AF18" s="12" t="n">
        <v>11</v>
      </c>
      <c r="AG18" s="12" t="n">
        <v>11</v>
      </c>
      <c r="AH18" s="12" t="n">
        <v>12</v>
      </c>
      <c r="AI18" s="12" t="n">
        <v>12</v>
      </c>
      <c r="AJ18" s="12" t="n">
        <v>13</v>
      </c>
      <c r="AK18" s="12" t="n">
        <v>13</v>
      </c>
      <c r="AL18" s="12" t="n">
        <v>14</v>
      </c>
    </row>
    <row r="19">
      <c r="A19" s="10" t="inlineStr">
        <is>
          <t>Total Contracts/Month</t>
        </is>
      </c>
      <c r="C19" s="11">
        <f>C15*$B$9+C16*40+C17*200+C18*100</f>
        <v/>
      </c>
      <c r="D19" s="11">
        <f>D15*$B$9+D16*40+D17*200+D18*100</f>
        <v/>
      </c>
      <c r="E19" s="11">
        <f>E15*$B$9+E16*40+E17*200+E18*100</f>
        <v/>
      </c>
      <c r="F19" s="11">
        <f>F15*$B$9+F16*40+F17*200+F18*100</f>
        <v/>
      </c>
      <c r="G19" s="11">
        <f>G15*$B$9+G16*40+G17*200+G18*100</f>
        <v/>
      </c>
      <c r="H19" s="11">
        <f>H15*$B$9+H16*40+H17*200+H18*100</f>
        <v/>
      </c>
      <c r="I19" s="11">
        <f>I15*$B$9+I16*40+I17*200+I18*100</f>
        <v/>
      </c>
      <c r="J19" s="11">
        <f>J15*$B$9+J16*40+J17*200+J18*100</f>
        <v/>
      </c>
      <c r="K19" s="11">
        <f>K15*$B$9+K16*40+K17*200+K18*100</f>
        <v/>
      </c>
      <c r="L19" s="11">
        <f>L15*$B$9+L16*40+L17*200+L18*100</f>
        <v/>
      </c>
      <c r="M19" s="11">
        <f>M15*$B$9+M16*40+M17*200+M18*100</f>
        <v/>
      </c>
      <c r="N19" s="11">
        <f>N15*$B$9+N16*40+N17*200+N18*100</f>
        <v/>
      </c>
      <c r="O19" s="11">
        <f>O15*$B$9+O16*40+O17*200+O18*100</f>
        <v/>
      </c>
      <c r="P19" s="11">
        <f>P15*$B$9+P16*40+P17*200+P18*100</f>
        <v/>
      </c>
      <c r="Q19" s="11">
        <f>Q15*$B$9+Q16*40+Q17*200+Q18*100</f>
        <v/>
      </c>
      <c r="R19" s="11">
        <f>R15*$B$9+R16*40+R17*200+R18*100</f>
        <v/>
      </c>
      <c r="S19" s="11">
        <f>S15*$B$9+S16*40+S17*200+S18*100</f>
        <v/>
      </c>
      <c r="T19" s="11">
        <f>T15*$B$9+T16*40+T17*200+T18*100</f>
        <v/>
      </c>
      <c r="U19" s="11">
        <f>U15*$B$9+U16*40+U17*200+U18*100</f>
        <v/>
      </c>
      <c r="V19" s="11">
        <f>V15*$B$9+V16*40+V17*200+V18*100</f>
        <v/>
      </c>
      <c r="W19" s="11">
        <f>W15*$B$9+W16*40+W17*200+W18*100</f>
        <v/>
      </c>
      <c r="X19" s="11">
        <f>X15*$B$9+X16*40+X17*200+X18*100</f>
        <v/>
      </c>
      <c r="Y19" s="11">
        <f>Y15*$B$9+Y16*40+Y17*200+Y18*100</f>
        <v/>
      </c>
      <c r="Z19" s="11">
        <f>Z15*$B$9+Z16*40+Z17*200+Z18*100</f>
        <v/>
      </c>
      <c r="AA19" s="11">
        <f>AA15*$B$9+AA16*40+AA17*200+AA18*100</f>
        <v/>
      </c>
      <c r="AB19" s="11">
        <f>AB15*$B$9+AB16*40+AB17*200+AB18*100</f>
        <v/>
      </c>
      <c r="AC19" s="11">
        <f>AC15*$B$9+AC16*40+AC17*200+AC18*100</f>
        <v/>
      </c>
      <c r="AD19" s="11">
        <f>AD15*$B$9+AD16*40+AD17*200+AD18*100</f>
        <v/>
      </c>
      <c r="AE19" s="11">
        <f>AE15*$B$9+AE16*40+AE17*200+AE18*100</f>
        <v/>
      </c>
      <c r="AF19" s="11">
        <f>AF15*$B$9+AF16*40+AF17*200+AF18*100</f>
        <v/>
      </c>
      <c r="AG19" s="11">
        <f>AG15*$B$9+AG16*40+AG17*200+AG18*100</f>
        <v/>
      </c>
      <c r="AH19" s="11">
        <f>AH15*$B$9+AH16*40+AH17*200+AH18*100</f>
        <v/>
      </c>
      <c r="AI19" s="11">
        <f>AI15*$B$9+AI16*40+AI17*200+AI18*100</f>
        <v/>
      </c>
      <c r="AJ19" s="11">
        <f>AJ15*$B$9+AJ16*40+AJ17*200+AJ18*100</f>
        <v/>
      </c>
      <c r="AK19" s="11">
        <f>AK15*$B$9+AK16*40+AK17*200+AK18*100</f>
        <v/>
      </c>
      <c r="AL19" s="11">
        <f>AL15*$B$9+AL16*40+AL17*200+AL18*100</f>
        <v/>
      </c>
    </row>
    <row r="21">
      <c r="A21" s="9" t="inlineStr">
        <is>
          <t>REVENUE</t>
        </is>
      </c>
    </row>
    <row r="22">
      <c r="A22" s="13" t="inlineStr">
        <is>
          <t>x402 Per-Contract Revenue</t>
        </is>
      </c>
      <c r="C22" s="14">
        <f>C19*$B$10</f>
        <v/>
      </c>
      <c r="D22" s="14">
        <f>D19*$B$10</f>
        <v/>
      </c>
      <c r="E22" s="14">
        <f>E19*$B$10</f>
        <v/>
      </c>
      <c r="F22" s="14">
        <f>F19*$B$10</f>
        <v/>
      </c>
      <c r="G22" s="14">
        <f>G19*$B$10</f>
        <v/>
      </c>
      <c r="H22" s="14">
        <f>H19*$B$10</f>
        <v/>
      </c>
      <c r="I22" s="14">
        <f>I19*$B$10</f>
        <v/>
      </c>
      <c r="J22" s="14">
        <f>J19*$B$10</f>
        <v/>
      </c>
      <c r="K22" s="14">
        <f>K19*$B$10</f>
        <v/>
      </c>
      <c r="L22" s="14">
        <f>L19*$B$10</f>
        <v/>
      </c>
      <c r="M22" s="14">
        <f>M19*$B$10</f>
        <v/>
      </c>
      <c r="N22" s="14">
        <f>N19*$B$10</f>
        <v/>
      </c>
      <c r="O22" s="14">
        <f>O19*$B$10</f>
        <v/>
      </c>
      <c r="P22" s="14">
        <f>P19*$B$10</f>
        <v/>
      </c>
      <c r="Q22" s="14">
        <f>Q19*$B$10</f>
        <v/>
      </c>
      <c r="R22" s="14">
        <f>R19*$B$10</f>
        <v/>
      </c>
      <c r="S22" s="14">
        <f>S19*$B$10</f>
        <v/>
      </c>
      <c r="T22" s="14">
        <f>T19*$B$10</f>
        <v/>
      </c>
      <c r="U22" s="14">
        <f>U19*$B$10</f>
        <v/>
      </c>
      <c r="V22" s="14">
        <f>V19*$B$10</f>
        <v/>
      </c>
      <c r="W22" s="14">
        <f>W19*$B$10</f>
        <v/>
      </c>
      <c r="X22" s="14">
        <f>X19*$B$10</f>
        <v/>
      </c>
      <c r="Y22" s="14">
        <f>Y19*$B$10</f>
        <v/>
      </c>
      <c r="Z22" s="14">
        <f>Z19*$B$10</f>
        <v/>
      </c>
      <c r="AA22" s="14">
        <f>AA19*$B$10</f>
        <v/>
      </c>
      <c r="AB22" s="14">
        <f>AB19*$B$10</f>
        <v/>
      </c>
      <c r="AC22" s="14">
        <f>AC19*$B$10</f>
        <v/>
      </c>
      <c r="AD22" s="14">
        <f>AD19*$B$10</f>
        <v/>
      </c>
      <c r="AE22" s="14">
        <f>AE19*$B$10</f>
        <v/>
      </c>
      <c r="AF22" s="14">
        <f>AF19*$B$10</f>
        <v/>
      </c>
      <c r="AG22" s="14">
        <f>AG19*$B$10</f>
        <v/>
      </c>
      <c r="AH22" s="14">
        <f>AH19*$B$10</f>
        <v/>
      </c>
      <c r="AI22" s="14">
        <f>AI19*$B$10</f>
        <v/>
      </c>
      <c r="AJ22" s="14">
        <f>AJ19*$B$10</f>
        <v/>
      </c>
      <c r="AK22" s="14">
        <f>AK19*$B$10</f>
        <v/>
      </c>
      <c r="AL22" s="14">
        <f>AL19*$B$10</f>
        <v/>
      </c>
    </row>
    <row r="23">
      <c r="A23" s="13" t="inlineStr">
        <is>
          <t>Startup Subscriptions ($49/mo)</t>
        </is>
      </c>
      <c r="C23" s="14">
        <f>C16*49</f>
        <v/>
      </c>
      <c r="D23" s="14">
        <f>D16*49</f>
        <v/>
      </c>
      <c r="E23" s="14">
        <f>E16*49</f>
        <v/>
      </c>
      <c r="F23" s="14">
        <f>F16*49</f>
        <v/>
      </c>
      <c r="G23" s="14">
        <f>G16*49</f>
        <v/>
      </c>
      <c r="H23" s="14">
        <f>H16*49</f>
        <v/>
      </c>
      <c r="I23" s="14">
        <f>I16*49</f>
        <v/>
      </c>
      <c r="J23" s="14">
        <f>J16*49</f>
        <v/>
      </c>
      <c r="K23" s="14">
        <f>K16*49</f>
        <v/>
      </c>
      <c r="L23" s="14">
        <f>L16*49</f>
        <v/>
      </c>
      <c r="M23" s="14">
        <f>M16*49</f>
        <v/>
      </c>
      <c r="N23" s="14">
        <f>N16*49</f>
        <v/>
      </c>
      <c r="O23" s="14">
        <f>O16*49</f>
        <v/>
      </c>
      <c r="P23" s="14">
        <f>P16*49</f>
        <v/>
      </c>
      <c r="Q23" s="14">
        <f>Q16*49</f>
        <v/>
      </c>
      <c r="R23" s="14">
        <f>R16*49</f>
        <v/>
      </c>
      <c r="S23" s="14">
        <f>S16*49</f>
        <v/>
      </c>
      <c r="T23" s="14">
        <f>T16*49</f>
        <v/>
      </c>
      <c r="U23" s="14">
        <f>U16*49</f>
        <v/>
      </c>
      <c r="V23" s="14">
        <f>V16*49</f>
        <v/>
      </c>
      <c r="W23" s="14">
        <f>W16*49</f>
        <v/>
      </c>
      <c r="X23" s="14">
        <f>X16*49</f>
        <v/>
      </c>
      <c r="Y23" s="14">
        <f>Y16*49</f>
        <v/>
      </c>
      <c r="Z23" s="14">
        <f>Z16*49</f>
        <v/>
      </c>
      <c r="AA23" s="14">
        <f>AA16*49</f>
        <v/>
      </c>
      <c r="AB23" s="14">
        <f>AB16*49</f>
        <v/>
      </c>
      <c r="AC23" s="14">
        <f>AC16*49</f>
        <v/>
      </c>
      <c r="AD23" s="14">
        <f>AD16*49</f>
        <v/>
      </c>
      <c r="AE23" s="14">
        <f>AE16*49</f>
        <v/>
      </c>
      <c r="AF23" s="14">
        <f>AF16*49</f>
        <v/>
      </c>
      <c r="AG23" s="14">
        <f>AG16*49</f>
        <v/>
      </c>
      <c r="AH23" s="14">
        <f>AH16*49</f>
        <v/>
      </c>
      <c r="AI23" s="14">
        <f>AI16*49</f>
        <v/>
      </c>
      <c r="AJ23" s="14">
        <f>AJ16*49</f>
        <v/>
      </c>
      <c r="AK23" s="14">
        <f>AK16*49</f>
        <v/>
      </c>
      <c r="AL23" s="14">
        <f>AL16*49</f>
        <v/>
      </c>
    </row>
    <row r="24">
      <c r="A24" s="13" t="inlineStr">
        <is>
          <t>Scale Subscriptions ($199/mo)</t>
        </is>
      </c>
      <c r="C24" s="14">
        <f>C17*199</f>
        <v/>
      </c>
      <c r="D24" s="14">
        <f>D17*199</f>
        <v/>
      </c>
      <c r="E24" s="14">
        <f>E17*199</f>
        <v/>
      </c>
      <c r="F24" s="14">
        <f>F17*199</f>
        <v/>
      </c>
      <c r="G24" s="14">
        <f>G17*199</f>
        <v/>
      </c>
      <c r="H24" s="14">
        <f>H17*199</f>
        <v/>
      </c>
      <c r="I24" s="14">
        <f>I17*199</f>
        <v/>
      </c>
      <c r="J24" s="14">
        <f>J17*199</f>
        <v/>
      </c>
      <c r="K24" s="14">
        <f>K17*199</f>
        <v/>
      </c>
      <c r="L24" s="14">
        <f>L17*199</f>
        <v/>
      </c>
      <c r="M24" s="14">
        <f>M17*199</f>
        <v/>
      </c>
      <c r="N24" s="14">
        <f>N17*199</f>
        <v/>
      </c>
      <c r="O24" s="14">
        <f>O17*199</f>
        <v/>
      </c>
      <c r="P24" s="14">
        <f>P17*199</f>
        <v/>
      </c>
      <c r="Q24" s="14">
        <f>Q17*199</f>
        <v/>
      </c>
      <c r="R24" s="14">
        <f>R17*199</f>
        <v/>
      </c>
      <c r="S24" s="14">
        <f>S17*199</f>
        <v/>
      </c>
      <c r="T24" s="14">
        <f>T17*199</f>
        <v/>
      </c>
      <c r="U24" s="14">
        <f>U17*199</f>
        <v/>
      </c>
      <c r="V24" s="14">
        <f>V17*199</f>
        <v/>
      </c>
      <c r="W24" s="14">
        <f>W17*199</f>
        <v/>
      </c>
      <c r="X24" s="14">
        <f>X17*199</f>
        <v/>
      </c>
      <c r="Y24" s="14">
        <f>Y17*199</f>
        <v/>
      </c>
      <c r="Z24" s="14">
        <f>Z17*199</f>
        <v/>
      </c>
      <c r="AA24" s="14">
        <f>AA17*199</f>
        <v/>
      </c>
      <c r="AB24" s="14">
        <f>AB17*199</f>
        <v/>
      </c>
      <c r="AC24" s="14">
        <f>AC17*199</f>
        <v/>
      </c>
      <c r="AD24" s="14">
        <f>AD17*199</f>
        <v/>
      </c>
      <c r="AE24" s="14">
        <f>AE17*199</f>
        <v/>
      </c>
      <c r="AF24" s="14">
        <f>AF17*199</f>
        <v/>
      </c>
      <c r="AG24" s="14">
        <f>AG17*199</f>
        <v/>
      </c>
      <c r="AH24" s="14">
        <f>AH17*199</f>
        <v/>
      </c>
      <c r="AI24" s="14">
        <f>AI17*199</f>
        <v/>
      </c>
      <c r="AJ24" s="14">
        <f>AJ17*199</f>
        <v/>
      </c>
      <c r="AK24" s="14">
        <f>AK17*199</f>
        <v/>
      </c>
      <c r="AL24" s="14">
        <f>AL17*199</f>
        <v/>
      </c>
    </row>
    <row r="25">
      <c r="A25" s="13" t="inlineStr">
        <is>
          <t>Enterprise Pilots</t>
        </is>
      </c>
      <c r="C25" s="14">
        <f>C18*$B$11</f>
        <v/>
      </c>
      <c r="D25" s="14">
        <f>D18*$B$11</f>
        <v/>
      </c>
      <c r="E25" s="14">
        <f>E18*$B$11</f>
        <v/>
      </c>
      <c r="F25" s="14">
        <f>F18*$B$11</f>
        <v/>
      </c>
      <c r="G25" s="14">
        <f>G18*$B$11</f>
        <v/>
      </c>
      <c r="H25" s="14">
        <f>H18*$B$11</f>
        <v/>
      </c>
      <c r="I25" s="14">
        <f>I18*$B$11</f>
        <v/>
      </c>
      <c r="J25" s="14">
        <f>J18*$B$11</f>
        <v/>
      </c>
      <c r="K25" s="14">
        <f>K18*$B$11</f>
        <v/>
      </c>
      <c r="L25" s="14">
        <f>L18*$B$11</f>
        <v/>
      </c>
      <c r="M25" s="14">
        <f>M18*$B$11</f>
        <v/>
      </c>
      <c r="N25" s="14">
        <f>N18*$B$11</f>
        <v/>
      </c>
      <c r="O25" s="14">
        <f>O18*$B$11</f>
        <v/>
      </c>
      <c r="P25" s="14">
        <f>P18*$B$11</f>
        <v/>
      </c>
      <c r="Q25" s="14">
        <f>Q18*$B$11</f>
        <v/>
      </c>
      <c r="R25" s="14">
        <f>R18*$B$11</f>
        <v/>
      </c>
      <c r="S25" s="14">
        <f>S18*$B$11</f>
        <v/>
      </c>
      <c r="T25" s="14">
        <f>T18*$B$11</f>
        <v/>
      </c>
      <c r="U25" s="14">
        <f>U18*$B$11</f>
        <v/>
      </c>
      <c r="V25" s="14">
        <f>V18*$B$11</f>
        <v/>
      </c>
      <c r="W25" s="14">
        <f>W18*$B$11</f>
        <v/>
      </c>
      <c r="X25" s="14">
        <f>X18*$B$11</f>
        <v/>
      </c>
      <c r="Y25" s="14">
        <f>Y18*$B$11</f>
        <v/>
      </c>
      <c r="Z25" s="14">
        <f>Z18*$B$11</f>
        <v/>
      </c>
      <c r="AA25" s="14">
        <f>AA18*$B$11</f>
        <v/>
      </c>
      <c r="AB25" s="14">
        <f>AB18*$B$11</f>
        <v/>
      </c>
      <c r="AC25" s="14">
        <f>AC18*$B$11</f>
        <v/>
      </c>
      <c r="AD25" s="14">
        <f>AD18*$B$11</f>
        <v/>
      </c>
      <c r="AE25" s="14">
        <f>AE18*$B$11</f>
        <v/>
      </c>
      <c r="AF25" s="14">
        <f>AF18*$B$11</f>
        <v/>
      </c>
      <c r="AG25" s="14">
        <f>AG18*$B$11</f>
        <v/>
      </c>
      <c r="AH25" s="14">
        <f>AH18*$B$11</f>
        <v/>
      </c>
      <c r="AI25" s="14">
        <f>AI18*$B$11</f>
        <v/>
      </c>
      <c r="AJ25" s="14">
        <f>AJ18*$B$11</f>
        <v/>
      </c>
      <c r="AK25" s="14">
        <f>AK18*$B$11</f>
        <v/>
      </c>
      <c r="AL25" s="14">
        <f>AL18*$B$11</f>
        <v/>
      </c>
    </row>
    <row r="26">
      <c r="A26" s="15" t="inlineStr">
        <is>
          <t>Total Revenue</t>
        </is>
      </c>
      <c r="C26" s="16">
        <f>SUM(C22:C25)</f>
        <v/>
      </c>
      <c r="D26" s="16">
        <f>SUM(D22:D25)</f>
        <v/>
      </c>
      <c r="E26" s="16">
        <f>SUM(E22:E25)</f>
        <v/>
      </c>
      <c r="F26" s="16">
        <f>SUM(F22:F25)</f>
        <v/>
      </c>
      <c r="G26" s="16">
        <f>SUM(G22:G25)</f>
        <v/>
      </c>
      <c r="H26" s="16">
        <f>SUM(H22:H25)</f>
        <v/>
      </c>
      <c r="I26" s="16">
        <f>SUM(I22:I25)</f>
        <v/>
      </c>
      <c r="J26" s="16">
        <f>SUM(J22:J25)</f>
        <v/>
      </c>
      <c r="K26" s="16">
        <f>SUM(K22:K25)</f>
        <v/>
      </c>
      <c r="L26" s="16">
        <f>SUM(L22:L25)</f>
        <v/>
      </c>
      <c r="M26" s="16">
        <f>SUM(M22:M25)</f>
        <v/>
      </c>
      <c r="N26" s="16">
        <f>SUM(N22:N25)</f>
        <v/>
      </c>
      <c r="O26" s="16">
        <f>SUM(O22:O25)</f>
        <v/>
      </c>
      <c r="P26" s="16">
        <f>SUM(P22:P25)</f>
        <v/>
      </c>
      <c r="Q26" s="16">
        <f>SUM(Q22:Q25)</f>
        <v/>
      </c>
      <c r="R26" s="16">
        <f>SUM(R22:R25)</f>
        <v/>
      </c>
      <c r="S26" s="16">
        <f>SUM(S22:S25)</f>
        <v/>
      </c>
      <c r="T26" s="16">
        <f>SUM(T22:T25)</f>
        <v/>
      </c>
      <c r="U26" s="16">
        <f>SUM(U22:U25)</f>
        <v/>
      </c>
      <c r="V26" s="16">
        <f>SUM(V22:V25)</f>
        <v/>
      </c>
      <c r="W26" s="16">
        <f>SUM(W22:W25)</f>
        <v/>
      </c>
      <c r="X26" s="16">
        <f>SUM(X22:X25)</f>
        <v/>
      </c>
      <c r="Y26" s="16">
        <f>SUM(Y22:Y25)</f>
        <v/>
      </c>
      <c r="Z26" s="16">
        <f>SUM(Z22:Z25)</f>
        <v/>
      </c>
      <c r="AA26" s="16">
        <f>SUM(AA22:AA25)</f>
        <v/>
      </c>
      <c r="AB26" s="16">
        <f>SUM(AB22:AB25)</f>
        <v/>
      </c>
      <c r="AC26" s="16">
        <f>SUM(AC22:AC25)</f>
        <v/>
      </c>
      <c r="AD26" s="16">
        <f>SUM(AD22:AD25)</f>
        <v/>
      </c>
      <c r="AE26" s="16">
        <f>SUM(AE22:AE25)</f>
        <v/>
      </c>
      <c r="AF26" s="16">
        <f>SUM(AF22:AF25)</f>
        <v/>
      </c>
      <c r="AG26" s="16">
        <f>SUM(AG22:AG25)</f>
        <v/>
      </c>
      <c r="AH26" s="16">
        <f>SUM(AH22:AH25)</f>
        <v/>
      </c>
      <c r="AI26" s="16">
        <f>SUM(AI22:AI25)</f>
        <v/>
      </c>
      <c r="AJ26" s="16">
        <f>SUM(AJ22:AJ25)</f>
        <v/>
      </c>
      <c r="AK26" s="16">
        <f>SUM(AK22:AK25)</f>
        <v/>
      </c>
      <c r="AL26" s="16">
        <f>SUM(AL22:AL25)</f>
        <v/>
      </c>
    </row>
    <row r="28">
      <c r="A28" s="9" t="inlineStr">
        <is>
          <t>EXPENSES</t>
        </is>
      </c>
    </row>
    <row r="29">
      <c r="A29" s="17" t="inlineStr">
        <is>
          <t>Vercel Pro</t>
        </is>
      </c>
      <c r="C29" s="18" t="n">
        <v>0</v>
      </c>
      <c r="D29" s="18" t="n">
        <v>0</v>
      </c>
      <c r="E29" s="18" t="n">
        <v>20</v>
      </c>
      <c r="F29" s="18" t="n">
        <v>20</v>
      </c>
      <c r="G29" s="18" t="n">
        <v>20</v>
      </c>
      <c r="H29" s="18" t="n">
        <v>20</v>
      </c>
      <c r="I29" s="18" t="n">
        <v>20</v>
      </c>
      <c r="J29" s="18" t="n">
        <v>20</v>
      </c>
      <c r="K29" s="18" t="n">
        <v>20</v>
      </c>
      <c r="L29" s="18" t="n">
        <v>20</v>
      </c>
      <c r="M29" s="18" t="n">
        <v>20</v>
      </c>
      <c r="N29" s="18" t="n">
        <v>20</v>
      </c>
      <c r="O29" s="18" t="n">
        <v>20</v>
      </c>
      <c r="P29" s="18" t="n">
        <v>20</v>
      </c>
      <c r="Q29" s="18" t="n">
        <v>20</v>
      </c>
      <c r="R29" s="18" t="n">
        <v>20</v>
      </c>
      <c r="S29" s="18" t="n">
        <v>20</v>
      </c>
      <c r="T29" s="18" t="n">
        <v>20</v>
      </c>
      <c r="U29" s="18" t="n">
        <v>20</v>
      </c>
      <c r="V29" s="18" t="n">
        <v>20</v>
      </c>
      <c r="W29" s="18" t="n">
        <v>20</v>
      </c>
      <c r="X29" s="18" t="n">
        <v>20</v>
      </c>
      <c r="Y29" s="18" t="n">
        <v>20</v>
      </c>
      <c r="Z29" s="18" t="n">
        <v>20</v>
      </c>
      <c r="AA29" s="18" t="n">
        <v>20</v>
      </c>
      <c r="AB29" s="18" t="n">
        <v>20</v>
      </c>
      <c r="AC29" s="18" t="n">
        <v>20</v>
      </c>
      <c r="AD29" s="18" t="n">
        <v>20</v>
      </c>
      <c r="AE29" s="18" t="n">
        <v>20</v>
      </c>
      <c r="AF29" s="18" t="n">
        <v>20</v>
      </c>
      <c r="AG29" s="18" t="n">
        <v>20</v>
      </c>
      <c r="AH29" s="18" t="n">
        <v>20</v>
      </c>
      <c r="AI29" s="18" t="n">
        <v>20</v>
      </c>
      <c r="AJ29" s="18" t="n">
        <v>20</v>
      </c>
      <c r="AK29" s="18" t="n">
        <v>20</v>
      </c>
      <c r="AL29" s="18" t="n">
        <v>20</v>
      </c>
    </row>
    <row r="30">
      <c r="A30" s="17" t="inlineStr">
        <is>
          <t>Supabase Pro</t>
        </is>
      </c>
      <c r="C30" s="18" t="n">
        <v>0</v>
      </c>
      <c r="D30" s="18" t="n">
        <v>0</v>
      </c>
      <c r="E30" s="18" t="n">
        <v>25</v>
      </c>
      <c r="F30" s="18" t="n">
        <v>25</v>
      </c>
      <c r="G30" s="18" t="n">
        <v>25</v>
      </c>
      <c r="H30" s="18" t="n">
        <v>25</v>
      </c>
      <c r="I30" s="18" t="n">
        <v>25</v>
      </c>
      <c r="J30" s="18" t="n">
        <v>25</v>
      </c>
      <c r="K30" s="18" t="n">
        <v>25</v>
      </c>
      <c r="L30" s="18" t="n">
        <v>25</v>
      </c>
      <c r="M30" s="18" t="n">
        <v>25</v>
      </c>
      <c r="N30" s="18" t="n">
        <v>25</v>
      </c>
      <c r="O30" s="18" t="n">
        <v>25</v>
      </c>
      <c r="P30" s="18" t="n">
        <v>25</v>
      </c>
      <c r="Q30" s="18" t="n">
        <v>25</v>
      </c>
      <c r="R30" s="18" t="n">
        <v>25</v>
      </c>
      <c r="S30" s="18" t="n">
        <v>25</v>
      </c>
      <c r="T30" s="18" t="n">
        <v>25</v>
      </c>
      <c r="U30" s="18" t="n">
        <v>25</v>
      </c>
      <c r="V30" s="18" t="n">
        <v>25</v>
      </c>
      <c r="W30" s="18" t="n">
        <v>25</v>
      </c>
      <c r="X30" s="18" t="n">
        <v>25</v>
      </c>
      <c r="Y30" s="18" t="n">
        <v>25</v>
      </c>
      <c r="Z30" s="18" t="n">
        <v>25</v>
      </c>
      <c r="AA30" s="18" t="n">
        <v>25</v>
      </c>
      <c r="AB30" s="18" t="n">
        <v>25</v>
      </c>
      <c r="AC30" s="18" t="n">
        <v>25</v>
      </c>
      <c r="AD30" s="18" t="n">
        <v>25</v>
      </c>
      <c r="AE30" s="18" t="n">
        <v>25</v>
      </c>
      <c r="AF30" s="18" t="n">
        <v>25</v>
      </c>
      <c r="AG30" s="18" t="n">
        <v>25</v>
      </c>
      <c r="AH30" s="18" t="n">
        <v>25</v>
      </c>
      <c r="AI30" s="18" t="n">
        <v>25</v>
      </c>
      <c r="AJ30" s="18" t="n">
        <v>25</v>
      </c>
      <c r="AK30" s="18" t="n">
        <v>25</v>
      </c>
      <c r="AL30" s="18" t="n">
        <v>25</v>
      </c>
    </row>
    <row r="31">
      <c r="A31" s="17" t="inlineStr">
        <is>
          <t>Anthropic API (usage)</t>
        </is>
      </c>
      <c r="C31" s="14">
        <f>ROUND(C19*0.001,0)</f>
        <v/>
      </c>
      <c r="D31" s="14">
        <f>ROUND(D19*0.001,0)</f>
        <v/>
      </c>
      <c r="E31" s="14">
        <f>ROUND(E19*0.001,0)</f>
        <v/>
      </c>
      <c r="F31" s="14">
        <f>ROUND(F19*0.001,0)</f>
        <v/>
      </c>
      <c r="G31" s="14">
        <f>ROUND(G19*0.001,0)</f>
        <v/>
      </c>
      <c r="H31" s="14">
        <f>ROUND(H19*0.001,0)</f>
        <v/>
      </c>
      <c r="I31" s="14">
        <f>ROUND(I19*0.001,0)</f>
        <v/>
      </c>
      <c r="J31" s="14">
        <f>ROUND(J19*0.001,0)</f>
        <v/>
      </c>
      <c r="K31" s="14">
        <f>ROUND(K19*0.001,0)</f>
        <v/>
      </c>
      <c r="L31" s="14">
        <f>ROUND(L19*0.001,0)</f>
        <v/>
      </c>
      <c r="M31" s="14">
        <f>ROUND(M19*0.001,0)</f>
        <v/>
      </c>
      <c r="N31" s="14">
        <f>ROUND(N19*0.001,0)</f>
        <v/>
      </c>
      <c r="O31" s="14">
        <f>ROUND(O19*0.001,0)</f>
        <v/>
      </c>
      <c r="P31" s="14">
        <f>ROUND(P19*0.001,0)</f>
        <v/>
      </c>
      <c r="Q31" s="14">
        <f>ROUND(Q19*0.001,0)</f>
        <v/>
      </c>
      <c r="R31" s="14">
        <f>ROUND(R19*0.001,0)</f>
        <v/>
      </c>
      <c r="S31" s="14">
        <f>ROUND(S19*0.001,0)</f>
        <v/>
      </c>
      <c r="T31" s="14">
        <f>ROUND(T19*0.001,0)</f>
        <v/>
      </c>
      <c r="U31" s="14">
        <f>ROUND(U19*0.001,0)</f>
        <v/>
      </c>
      <c r="V31" s="14">
        <f>ROUND(V19*0.001,0)</f>
        <v/>
      </c>
      <c r="W31" s="14">
        <f>ROUND(W19*0.001,0)</f>
        <v/>
      </c>
      <c r="X31" s="14">
        <f>ROUND(X19*0.001,0)</f>
        <v/>
      </c>
      <c r="Y31" s="14">
        <f>ROUND(Y19*0.001,0)</f>
        <v/>
      </c>
      <c r="Z31" s="14">
        <f>ROUND(Z19*0.001,0)</f>
        <v/>
      </c>
      <c r="AA31" s="14">
        <f>ROUND(AA19*0.001,0)</f>
        <v/>
      </c>
      <c r="AB31" s="14">
        <f>ROUND(AB19*0.001,0)</f>
        <v/>
      </c>
      <c r="AC31" s="14">
        <f>ROUND(AC19*0.001,0)</f>
        <v/>
      </c>
      <c r="AD31" s="14">
        <f>ROUND(AD19*0.001,0)</f>
        <v/>
      </c>
      <c r="AE31" s="14">
        <f>ROUND(AE19*0.001,0)</f>
        <v/>
      </c>
      <c r="AF31" s="14">
        <f>ROUND(AF19*0.001,0)</f>
        <v/>
      </c>
      <c r="AG31" s="14">
        <f>ROUND(AG19*0.001,0)</f>
        <v/>
      </c>
      <c r="AH31" s="14">
        <f>ROUND(AH19*0.001,0)</f>
        <v/>
      </c>
      <c r="AI31" s="14">
        <f>ROUND(AI19*0.001,0)</f>
        <v/>
      </c>
      <c r="AJ31" s="14">
        <f>ROUND(AJ19*0.001,0)</f>
        <v/>
      </c>
      <c r="AK31" s="14">
        <f>ROUND(AK19*0.001,0)</f>
        <v/>
      </c>
      <c r="AL31" s="14">
        <f>ROUND(AL19*0.001,0)</f>
        <v/>
      </c>
    </row>
    <row r="32">
      <c r="A32" s="17" t="inlineStr">
        <is>
          <t>Base L2 Gas (usage)</t>
        </is>
      </c>
      <c r="C32" s="14">
        <f>ROUND(C19*0.01,0)</f>
        <v/>
      </c>
      <c r="D32" s="14">
        <f>ROUND(D19*0.01,0)</f>
        <v/>
      </c>
      <c r="E32" s="14">
        <f>ROUND(E19*0.01,0)</f>
        <v/>
      </c>
      <c r="F32" s="14">
        <f>ROUND(F19*0.01,0)</f>
        <v/>
      </c>
      <c r="G32" s="14">
        <f>ROUND(G19*0.01,0)</f>
        <v/>
      </c>
      <c r="H32" s="14">
        <f>ROUND(H19*0.01,0)</f>
        <v/>
      </c>
      <c r="I32" s="14">
        <f>ROUND(I19*0.01,0)</f>
        <v/>
      </c>
      <c r="J32" s="14">
        <f>ROUND(J19*0.01,0)</f>
        <v/>
      </c>
      <c r="K32" s="14">
        <f>ROUND(K19*0.01,0)</f>
        <v/>
      </c>
      <c r="L32" s="14">
        <f>ROUND(L19*0.01,0)</f>
        <v/>
      </c>
      <c r="M32" s="14">
        <f>ROUND(M19*0.01,0)</f>
        <v/>
      </c>
      <c r="N32" s="14">
        <f>ROUND(N19*0.01,0)</f>
        <v/>
      </c>
      <c r="O32" s="14">
        <f>ROUND(O19*0.01,0)</f>
        <v/>
      </c>
      <c r="P32" s="14">
        <f>ROUND(P19*0.01,0)</f>
        <v/>
      </c>
      <c r="Q32" s="14">
        <f>ROUND(Q19*0.01,0)</f>
        <v/>
      </c>
      <c r="R32" s="14">
        <f>ROUND(R19*0.01,0)</f>
        <v/>
      </c>
      <c r="S32" s="14">
        <f>ROUND(S19*0.01,0)</f>
        <v/>
      </c>
      <c r="T32" s="14">
        <f>ROUND(T19*0.01,0)</f>
        <v/>
      </c>
      <c r="U32" s="14">
        <f>ROUND(U19*0.01,0)</f>
        <v/>
      </c>
      <c r="V32" s="14">
        <f>ROUND(V19*0.01,0)</f>
        <v/>
      </c>
      <c r="W32" s="14">
        <f>ROUND(W19*0.01,0)</f>
        <v/>
      </c>
      <c r="X32" s="14">
        <f>ROUND(X19*0.01,0)</f>
        <v/>
      </c>
      <c r="Y32" s="14">
        <f>ROUND(Y19*0.01,0)</f>
        <v/>
      </c>
      <c r="Z32" s="14">
        <f>ROUND(Z19*0.01,0)</f>
        <v/>
      </c>
      <c r="AA32" s="14">
        <f>ROUND(AA19*0.01,0)</f>
        <v/>
      </c>
      <c r="AB32" s="14">
        <f>ROUND(AB19*0.01,0)</f>
        <v/>
      </c>
      <c r="AC32" s="14">
        <f>ROUND(AC19*0.01,0)</f>
        <v/>
      </c>
      <c r="AD32" s="14">
        <f>ROUND(AD19*0.01,0)</f>
        <v/>
      </c>
      <c r="AE32" s="14">
        <f>ROUND(AE19*0.01,0)</f>
        <v/>
      </c>
      <c r="AF32" s="14">
        <f>ROUND(AF19*0.01,0)</f>
        <v/>
      </c>
      <c r="AG32" s="14">
        <f>ROUND(AG19*0.01,0)</f>
        <v/>
      </c>
      <c r="AH32" s="14">
        <f>ROUND(AH19*0.01,0)</f>
        <v/>
      </c>
      <c r="AI32" s="14">
        <f>ROUND(AI19*0.01,0)</f>
        <v/>
      </c>
      <c r="AJ32" s="14">
        <f>ROUND(AJ19*0.01,0)</f>
        <v/>
      </c>
      <c r="AK32" s="14">
        <f>ROUND(AK19*0.01,0)</f>
        <v/>
      </c>
      <c r="AL32" s="14">
        <f>ROUND(AL19*0.01,0)</f>
        <v/>
      </c>
    </row>
    <row r="33">
      <c r="A33" s="17" t="inlineStr">
        <is>
          <t>Resend Email</t>
        </is>
      </c>
      <c r="C33" s="18" t="n">
        <v>0</v>
      </c>
      <c r="D33" s="18" t="n">
        <v>0</v>
      </c>
      <c r="E33" s="18" t="n">
        <v>20</v>
      </c>
      <c r="F33" s="18" t="n">
        <v>20</v>
      </c>
      <c r="G33" s="18" t="n">
        <v>20</v>
      </c>
      <c r="H33" s="18" t="n">
        <v>20</v>
      </c>
      <c r="I33" s="18" t="n">
        <v>20</v>
      </c>
      <c r="J33" s="18" t="n">
        <v>20</v>
      </c>
      <c r="K33" s="18" t="n">
        <v>20</v>
      </c>
      <c r="L33" s="18" t="n">
        <v>20</v>
      </c>
      <c r="M33" s="18" t="n">
        <v>20</v>
      </c>
      <c r="N33" s="18" t="n">
        <v>20</v>
      </c>
      <c r="O33" s="18" t="n">
        <v>20</v>
      </c>
      <c r="P33" s="18" t="n">
        <v>20</v>
      </c>
      <c r="Q33" s="18" t="n">
        <v>20</v>
      </c>
      <c r="R33" s="18" t="n">
        <v>20</v>
      </c>
      <c r="S33" s="18" t="n">
        <v>20</v>
      </c>
      <c r="T33" s="18" t="n">
        <v>20</v>
      </c>
      <c r="U33" s="18" t="n">
        <v>20</v>
      </c>
      <c r="V33" s="18" t="n">
        <v>20</v>
      </c>
      <c r="W33" s="18" t="n">
        <v>20</v>
      </c>
      <c r="X33" s="18" t="n">
        <v>20</v>
      </c>
      <c r="Y33" s="18" t="n">
        <v>20</v>
      </c>
      <c r="Z33" s="18" t="n">
        <v>20</v>
      </c>
      <c r="AA33" s="18" t="n">
        <v>20</v>
      </c>
      <c r="AB33" s="18" t="n">
        <v>20</v>
      </c>
      <c r="AC33" s="18" t="n">
        <v>20</v>
      </c>
      <c r="AD33" s="18" t="n">
        <v>20</v>
      </c>
      <c r="AE33" s="18" t="n">
        <v>20</v>
      </c>
      <c r="AF33" s="18" t="n">
        <v>20</v>
      </c>
      <c r="AG33" s="18" t="n">
        <v>20</v>
      </c>
      <c r="AH33" s="18" t="n">
        <v>20</v>
      </c>
      <c r="AI33" s="18" t="n">
        <v>20</v>
      </c>
      <c r="AJ33" s="18" t="n">
        <v>20</v>
      </c>
      <c r="AK33" s="18" t="n">
        <v>20</v>
      </c>
      <c r="AL33" s="18" t="n">
        <v>20</v>
      </c>
    </row>
    <row r="34">
      <c r="A34" s="17" t="inlineStr">
        <is>
          <t>Domains</t>
        </is>
      </c>
      <c r="C34" s="18" t="n">
        <v>3</v>
      </c>
      <c r="D34" s="18" t="n">
        <v>3</v>
      </c>
      <c r="E34" s="18" t="n">
        <v>3</v>
      </c>
      <c r="F34" s="18" t="n">
        <v>3</v>
      </c>
      <c r="G34" s="18" t="n">
        <v>3</v>
      </c>
      <c r="H34" s="18" t="n">
        <v>3</v>
      </c>
      <c r="I34" s="18" t="n">
        <v>3</v>
      </c>
      <c r="J34" s="18" t="n">
        <v>3</v>
      </c>
      <c r="K34" s="18" t="n">
        <v>3</v>
      </c>
      <c r="L34" s="18" t="n">
        <v>3</v>
      </c>
      <c r="M34" s="18" t="n">
        <v>3</v>
      </c>
      <c r="N34" s="18" t="n">
        <v>3</v>
      </c>
      <c r="O34" s="18" t="n">
        <v>3</v>
      </c>
      <c r="P34" s="18" t="n">
        <v>3</v>
      </c>
      <c r="Q34" s="18" t="n">
        <v>3</v>
      </c>
      <c r="R34" s="18" t="n">
        <v>3</v>
      </c>
      <c r="S34" s="18" t="n">
        <v>3</v>
      </c>
      <c r="T34" s="18" t="n">
        <v>3</v>
      </c>
      <c r="U34" s="18" t="n">
        <v>3</v>
      </c>
      <c r="V34" s="18" t="n">
        <v>3</v>
      </c>
      <c r="W34" s="18" t="n">
        <v>3</v>
      </c>
      <c r="X34" s="18" t="n">
        <v>3</v>
      </c>
      <c r="Y34" s="18" t="n">
        <v>3</v>
      </c>
      <c r="Z34" s="18" t="n">
        <v>3</v>
      </c>
      <c r="AA34" s="18" t="n">
        <v>3</v>
      </c>
      <c r="AB34" s="18" t="n">
        <v>3</v>
      </c>
      <c r="AC34" s="18" t="n">
        <v>3</v>
      </c>
      <c r="AD34" s="18" t="n">
        <v>3</v>
      </c>
      <c r="AE34" s="18" t="n">
        <v>3</v>
      </c>
      <c r="AF34" s="18" t="n">
        <v>3</v>
      </c>
      <c r="AG34" s="18" t="n">
        <v>3</v>
      </c>
      <c r="AH34" s="18" t="n">
        <v>3</v>
      </c>
      <c r="AI34" s="18" t="n">
        <v>3</v>
      </c>
      <c r="AJ34" s="18" t="n">
        <v>3</v>
      </c>
      <c r="AK34" s="18" t="n">
        <v>3</v>
      </c>
      <c r="AL34" s="18" t="n">
        <v>3</v>
      </c>
    </row>
    <row r="35">
      <c r="A35" s="17" t="inlineStr">
        <is>
          <t>OMRA Corp (Delaware)</t>
        </is>
      </c>
      <c r="C35" s="18" t="n">
        <v>30</v>
      </c>
      <c r="D35" s="18" t="n">
        <v>30</v>
      </c>
      <c r="E35" s="18" t="n">
        <v>30</v>
      </c>
      <c r="F35" s="18" t="n">
        <v>30</v>
      </c>
      <c r="G35" s="18" t="n">
        <v>30</v>
      </c>
      <c r="H35" s="18" t="n">
        <v>30</v>
      </c>
      <c r="I35" s="18" t="n">
        <v>30</v>
      </c>
      <c r="J35" s="18" t="n">
        <v>30</v>
      </c>
      <c r="K35" s="18" t="n">
        <v>30</v>
      </c>
      <c r="L35" s="18" t="n">
        <v>30</v>
      </c>
      <c r="M35" s="18" t="n">
        <v>30</v>
      </c>
      <c r="N35" s="18" t="n">
        <v>30</v>
      </c>
      <c r="O35" s="18" t="n">
        <v>30</v>
      </c>
      <c r="P35" s="18" t="n">
        <v>30</v>
      </c>
      <c r="Q35" s="18" t="n">
        <v>30</v>
      </c>
      <c r="R35" s="18" t="n">
        <v>30</v>
      </c>
      <c r="S35" s="18" t="n">
        <v>30</v>
      </c>
      <c r="T35" s="18" t="n">
        <v>30</v>
      </c>
      <c r="U35" s="18" t="n">
        <v>30</v>
      </c>
      <c r="V35" s="18" t="n">
        <v>30</v>
      </c>
      <c r="W35" s="18" t="n">
        <v>30</v>
      </c>
      <c r="X35" s="18" t="n">
        <v>30</v>
      </c>
      <c r="Y35" s="18" t="n">
        <v>30</v>
      </c>
      <c r="Z35" s="18" t="n">
        <v>30</v>
      </c>
      <c r="AA35" s="18" t="n">
        <v>30</v>
      </c>
      <c r="AB35" s="18" t="n">
        <v>30</v>
      </c>
      <c r="AC35" s="18" t="n">
        <v>30</v>
      </c>
      <c r="AD35" s="18" t="n">
        <v>30</v>
      </c>
      <c r="AE35" s="18" t="n">
        <v>30</v>
      </c>
      <c r="AF35" s="18" t="n">
        <v>30</v>
      </c>
      <c r="AG35" s="18" t="n">
        <v>30</v>
      </c>
      <c r="AH35" s="18" t="n">
        <v>30</v>
      </c>
      <c r="AI35" s="18" t="n">
        <v>30</v>
      </c>
      <c r="AJ35" s="18" t="n">
        <v>30</v>
      </c>
      <c r="AK35" s="18" t="n">
        <v>30</v>
      </c>
      <c r="AL35" s="18" t="n">
        <v>30</v>
      </c>
    </row>
    <row r="36">
      <c r="A36" s="17" t="inlineStr">
        <is>
          <t>Legal / Compliance</t>
        </is>
      </c>
      <c r="C36" s="18" t="n">
        <v>0</v>
      </c>
      <c r="D36" s="18" t="n">
        <v>0</v>
      </c>
      <c r="E36" s="18" t="n">
        <v>0</v>
      </c>
      <c r="F36" s="18" t="n">
        <v>0</v>
      </c>
      <c r="G36" s="18" t="n">
        <v>0</v>
      </c>
      <c r="H36" s="18" t="n">
        <v>500</v>
      </c>
      <c r="I36" s="18" t="n">
        <v>500</v>
      </c>
      <c r="J36" s="18" t="n">
        <v>500</v>
      </c>
      <c r="K36" s="18" t="n">
        <v>500</v>
      </c>
      <c r="L36" s="18" t="n">
        <v>500</v>
      </c>
      <c r="M36" s="18" t="n">
        <v>500</v>
      </c>
      <c r="N36" s="18" t="n">
        <v>500</v>
      </c>
      <c r="O36" s="18" t="n">
        <v>500</v>
      </c>
      <c r="P36" s="18" t="n">
        <v>500</v>
      </c>
      <c r="Q36" s="18" t="n">
        <v>500</v>
      </c>
      <c r="R36" s="18" t="n">
        <v>500</v>
      </c>
      <c r="S36" s="18" t="n">
        <v>500</v>
      </c>
      <c r="T36" s="18" t="n">
        <v>500</v>
      </c>
      <c r="U36" s="18" t="n">
        <v>500</v>
      </c>
      <c r="V36" s="18" t="n">
        <v>500</v>
      </c>
      <c r="W36" s="18" t="n">
        <v>500</v>
      </c>
      <c r="X36" s="18" t="n">
        <v>500</v>
      </c>
      <c r="Y36" s="18" t="n">
        <v>500</v>
      </c>
      <c r="Z36" s="18" t="n">
        <v>500</v>
      </c>
      <c r="AA36" s="18" t="n">
        <v>500</v>
      </c>
      <c r="AB36" s="18" t="n">
        <v>500</v>
      </c>
      <c r="AC36" s="18" t="n">
        <v>500</v>
      </c>
      <c r="AD36" s="18" t="n">
        <v>500</v>
      </c>
      <c r="AE36" s="18" t="n">
        <v>500</v>
      </c>
      <c r="AF36" s="18" t="n">
        <v>500</v>
      </c>
      <c r="AG36" s="18" t="n">
        <v>500</v>
      </c>
      <c r="AH36" s="18" t="n">
        <v>500</v>
      </c>
      <c r="AI36" s="18" t="n">
        <v>500</v>
      </c>
      <c r="AJ36" s="18" t="n">
        <v>500</v>
      </c>
      <c r="AK36" s="18" t="n">
        <v>500</v>
      </c>
      <c r="AL36" s="18" t="n">
        <v>500</v>
      </c>
    </row>
    <row r="37">
      <c r="A37" s="15" t="inlineStr">
        <is>
          <t>Total Expenses</t>
        </is>
      </c>
      <c r="C37" s="16">
        <f>SUM(C29:C36)</f>
        <v/>
      </c>
      <c r="D37" s="16">
        <f>SUM(D29:D36)</f>
        <v/>
      </c>
      <c r="E37" s="16">
        <f>SUM(E29:E36)</f>
        <v/>
      </c>
      <c r="F37" s="16">
        <f>SUM(F29:F36)</f>
        <v/>
      </c>
      <c r="G37" s="16">
        <f>SUM(G29:G36)</f>
        <v/>
      </c>
      <c r="H37" s="16">
        <f>SUM(H29:H36)</f>
        <v/>
      </c>
      <c r="I37" s="16">
        <f>SUM(I29:I36)</f>
        <v/>
      </c>
      <c r="J37" s="16">
        <f>SUM(J29:J36)</f>
        <v/>
      </c>
      <c r="K37" s="16">
        <f>SUM(K29:K36)</f>
        <v/>
      </c>
      <c r="L37" s="16">
        <f>SUM(L29:L36)</f>
        <v/>
      </c>
      <c r="M37" s="16">
        <f>SUM(M29:M36)</f>
        <v/>
      </c>
      <c r="N37" s="16">
        <f>SUM(N29:N36)</f>
        <v/>
      </c>
      <c r="O37" s="16">
        <f>SUM(O29:O36)</f>
        <v/>
      </c>
      <c r="P37" s="16">
        <f>SUM(P29:P36)</f>
        <v/>
      </c>
      <c r="Q37" s="16">
        <f>SUM(Q29:Q36)</f>
        <v/>
      </c>
      <c r="R37" s="16">
        <f>SUM(R29:R36)</f>
        <v/>
      </c>
      <c r="S37" s="16">
        <f>SUM(S29:S36)</f>
        <v/>
      </c>
      <c r="T37" s="16">
        <f>SUM(T29:T36)</f>
        <v/>
      </c>
      <c r="U37" s="16">
        <f>SUM(U29:U36)</f>
        <v/>
      </c>
      <c r="V37" s="16">
        <f>SUM(V29:V36)</f>
        <v/>
      </c>
      <c r="W37" s="16">
        <f>SUM(W29:W36)</f>
        <v/>
      </c>
      <c r="X37" s="16">
        <f>SUM(X29:X36)</f>
        <v/>
      </c>
      <c r="Y37" s="16">
        <f>SUM(Y29:Y36)</f>
        <v/>
      </c>
      <c r="Z37" s="16">
        <f>SUM(Z29:Z36)</f>
        <v/>
      </c>
      <c r="AA37" s="16">
        <f>SUM(AA29:AA36)</f>
        <v/>
      </c>
      <c r="AB37" s="16">
        <f>SUM(AB29:AB36)</f>
        <v/>
      </c>
      <c r="AC37" s="16">
        <f>SUM(AC29:AC36)</f>
        <v/>
      </c>
      <c r="AD37" s="16">
        <f>SUM(AD29:AD36)</f>
        <v/>
      </c>
      <c r="AE37" s="16">
        <f>SUM(AE29:AE36)</f>
        <v/>
      </c>
      <c r="AF37" s="16">
        <f>SUM(AF29:AF36)</f>
        <v/>
      </c>
      <c r="AG37" s="16">
        <f>SUM(AG29:AG36)</f>
        <v/>
      </c>
      <c r="AH37" s="16">
        <f>SUM(AH29:AH36)</f>
        <v/>
      </c>
      <c r="AI37" s="16">
        <f>SUM(AI29:AI36)</f>
        <v/>
      </c>
      <c r="AJ37" s="16">
        <f>SUM(AJ29:AJ36)</f>
        <v/>
      </c>
      <c r="AK37" s="16">
        <f>SUM(AK29:AK36)</f>
        <v/>
      </c>
      <c r="AL37" s="16">
        <f>SUM(AL29:AL36)</f>
        <v/>
      </c>
    </row>
    <row r="39">
      <c r="A39" s="9" t="inlineStr">
        <is>
          <t>PROFITABILITY</t>
        </is>
      </c>
    </row>
    <row r="40">
      <c r="A40" s="15" t="inlineStr">
        <is>
          <t>Gross Profit</t>
        </is>
      </c>
      <c r="C40" s="19">
        <f>C26-C37</f>
        <v/>
      </c>
      <c r="D40" s="19">
        <f>D26-D37</f>
        <v/>
      </c>
      <c r="E40" s="19">
        <f>E26-E37</f>
        <v/>
      </c>
      <c r="F40" s="19">
        <f>F26-F37</f>
        <v/>
      </c>
      <c r="G40" s="19">
        <f>G26-G37</f>
        <v/>
      </c>
      <c r="H40" s="19">
        <f>H26-H37</f>
        <v/>
      </c>
      <c r="I40" s="19">
        <f>I26-I37</f>
        <v/>
      </c>
      <c r="J40" s="19">
        <f>J26-J37</f>
        <v/>
      </c>
      <c r="K40" s="19">
        <f>K26-K37</f>
        <v/>
      </c>
      <c r="L40" s="19">
        <f>L26-L37</f>
        <v/>
      </c>
      <c r="M40" s="19">
        <f>M26-M37</f>
        <v/>
      </c>
      <c r="N40" s="19">
        <f>N26-N37</f>
        <v/>
      </c>
      <c r="O40" s="19">
        <f>O26-O37</f>
        <v/>
      </c>
      <c r="P40" s="19">
        <f>P26-P37</f>
        <v/>
      </c>
      <c r="Q40" s="19">
        <f>Q26-Q37</f>
        <v/>
      </c>
      <c r="R40" s="19">
        <f>R26-R37</f>
        <v/>
      </c>
      <c r="S40" s="19">
        <f>S26-S37</f>
        <v/>
      </c>
      <c r="T40" s="19">
        <f>T26-T37</f>
        <v/>
      </c>
      <c r="U40" s="19">
        <f>U26-U37</f>
        <v/>
      </c>
      <c r="V40" s="19">
        <f>V26-V37</f>
        <v/>
      </c>
      <c r="W40" s="19">
        <f>W26-W37</f>
        <v/>
      </c>
      <c r="X40" s="19">
        <f>X26-X37</f>
        <v/>
      </c>
      <c r="Y40" s="19">
        <f>Y26-Y37</f>
        <v/>
      </c>
      <c r="Z40" s="19">
        <f>Z26-Z37</f>
        <v/>
      </c>
      <c r="AA40" s="19">
        <f>AA26-AA37</f>
        <v/>
      </c>
      <c r="AB40" s="19">
        <f>AB26-AB37</f>
        <v/>
      </c>
      <c r="AC40" s="19">
        <f>AC26-AC37</f>
        <v/>
      </c>
      <c r="AD40" s="19">
        <f>AD26-AD37</f>
        <v/>
      </c>
      <c r="AE40" s="19">
        <f>AE26-AE37</f>
        <v/>
      </c>
      <c r="AF40" s="19">
        <f>AF26-AF37</f>
        <v/>
      </c>
      <c r="AG40" s="19">
        <f>AG26-AG37</f>
        <v/>
      </c>
      <c r="AH40" s="19">
        <f>AH26-AH37</f>
        <v/>
      </c>
      <c r="AI40" s="19">
        <f>AI26-AI37</f>
        <v/>
      </c>
      <c r="AJ40" s="19">
        <f>AJ26-AJ37</f>
        <v/>
      </c>
      <c r="AK40" s="19">
        <f>AK26-AK37</f>
        <v/>
      </c>
      <c r="AL40" s="19">
        <f>AL26-AL37</f>
        <v/>
      </c>
    </row>
    <row r="41">
      <c r="A41" s="15" t="inlineStr">
        <is>
          <t>Gross Margin %</t>
        </is>
      </c>
      <c r="C41" s="20">
        <f>IF(C26=0,0,C40/C26)</f>
        <v/>
      </c>
      <c r="D41" s="20">
        <f>IF(D26=0,0,D40/D26)</f>
        <v/>
      </c>
      <c r="E41" s="20">
        <f>IF(E26=0,0,E40/E26)</f>
        <v/>
      </c>
      <c r="F41" s="20">
        <f>IF(F26=0,0,F40/F26)</f>
        <v/>
      </c>
      <c r="G41" s="20">
        <f>IF(G26=0,0,G40/G26)</f>
        <v/>
      </c>
      <c r="H41" s="20">
        <f>IF(H26=0,0,H40/H26)</f>
        <v/>
      </c>
      <c r="I41" s="20">
        <f>IF(I26=0,0,I40/I26)</f>
        <v/>
      </c>
      <c r="J41" s="20">
        <f>IF(J26=0,0,J40/J26)</f>
        <v/>
      </c>
      <c r="K41" s="20">
        <f>IF(K26=0,0,K40/K26)</f>
        <v/>
      </c>
      <c r="L41" s="20">
        <f>IF(L26=0,0,L40/L26)</f>
        <v/>
      </c>
      <c r="M41" s="20">
        <f>IF(M26=0,0,M40/M26)</f>
        <v/>
      </c>
      <c r="N41" s="20">
        <f>IF(N26=0,0,N40/N26)</f>
        <v/>
      </c>
      <c r="O41" s="20">
        <f>IF(O26=0,0,O40/O26)</f>
        <v/>
      </c>
      <c r="P41" s="20">
        <f>IF(P26=0,0,P40/P26)</f>
        <v/>
      </c>
      <c r="Q41" s="20">
        <f>IF(Q26=0,0,Q40/Q26)</f>
        <v/>
      </c>
      <c r="R41" s="20">
        <f>IF(R26=0,0,R40/R26)</f>
        <v/>
      </c>
      <c r="S41" s="20">
        <f>IF(S26=0,0,S40/S26)</f>
        <v/>
      </c>
      <c r="T41" s="20">
        <f>IF(T26=0,0,T40/T26)</f>
        <v/>
      </c>
      <c r="U41" s="20">
        <f>IF(U26=0,0,U40/U26)</f>
        <v/>
      </c>
      <c r="V41" s="20">
        <f>IF(V26=0,0,V40/V26)</f>
        <v/>
      </c>
      <c r="W41" s="20">
        <f>IF(W26=0,0,W40/W26)</f>
        <v/>
      </c>
      <c r="X41" s="20">
        <f>IF(X26=0,0,X40/X26)</f>
        <v/>
      </c>
      <c r="Y41" s="20">
        <f>IF(Y26=0,0,Y40/Y26)</f>
        <v/>
      </c>
      <c r="Z41" s="20">
        <f>IF(Z26=0,0,Z40/Z26)</f>
        <v/>
      </c>
      <c r="AA41" s="20">
        <f>IF(AA26=0,0,AA40/AA26)</f>
        <v/>
      </c>
      <c r="AB41" s="20">
        <f>IF(AB26=0,0,AB40/AB26)</f>
        <v/>
      </c>
      <c r="AC41" s="20">
        <f>IF(AC26=0,0,AC40/AC26)</f>
        <v/>
      </c>
      <c r="AD41" s="20">
        <f>IF(AD26=0,0,AD40/AD26)</f>
        <v/>
      </c>
      <c r="AE41" s="20">
        <f>IF(AE26=0,0,AE40/AE26)</f>
        <v/>
      </c>
      <c r="AF41" s="20">
        <f>IF(AF26=0,0,AF40/AF26)</f>
        <v/>
      </c>
      <c r="AG41" s="20">
        <f>IF(AG26=0,0,AG40/AG26)</f>
        <v/>
      </c>
      <c r="AH41" s="20">
        <f>IF(AH26=0,0,AH40/AH26)</f>
        <v/>
      </c>
      <c r="AI41" s="20">
        <f>IF(AI26=0,0,AI40/AI26)</f>
        <v/>
      </c>
      <c r="AJ41" s="20">
        <f>IF(AJ26=0,0,AJ40/AJ26)</f>
        <v/>
      </c>
      <c r="AK41" s="20">
        <f>IF(AK26=0,0,AK40/AK26)</f>
        <v/>
      </c>
      <c r="AL41" s="20">
        <f>IF(AL26=0,0,AL40/AL26)</f>
        <v/>
      </c>
    </row>
    <row r="42">
      <c r="A42" s="15" t="inlineStr">
        <is>
          <t>Cumulative P&amp;L</t>
        </is>
      </c>
      <c r="C42" s="19">
        <f>C40</f>
        <v/>
      </c>
      <c r="D42" s="19">
        <f>C42+D40</f>
        <v/>
      </c>
      <c r="E42" s="19">
        <f>D42+E40</f>
        <v/>
      </c>
      <c r="F42" s="19">
        <f>E42+F40</f>
        <v/>
      </c>
      <c r="G42" s="19">
        <f>F42+G40</f>
        <v/>
      </c>
      <c r="H42" s="19">
        <f>G42+H40</f>
        <v/>
      </c>
      <c r="I42" s="19">
        <f>H42+I40</f>
        <v/>
      </c>
      <c r="J42" s="19">
        <f>I42+J40</f>
        <v/>
      </c>
      <c r="K42" s="19">
        <f>J42+K40</f>
        <v/>
      </c>
      <c r="L42" s="19">
        <f>K42+L40</f>
        <v/>
      </c>
      <c r="M42" s="19">
        <f>L42+M40</f>
        <v/>
      </c>
      <c r="N42" s="19">
        <f>M42+N40</f>
        <v/>
      </c>
      <c r="O42" s="19">
        <f>N42+O40</f>
        <v/>
      </c>
      <c r="P42" s="19">
        <f>O42+P40</f>
        <v/>
      </c>
      <c r="Q42" s="19">
        <f>P42+Q40</f>
        <v/>
      </c>
      <c r="R42" s="19">
        <f>Q42+R40</f>
        <v/>
      </c>
      <c r="S42" s="19">
        <f>R42+S40</f>
        <v/>
      </c>
      <c r="T42" s="19">
        <f>S42+T40</f>
        <v/>
      </c>
      <c r="U42" s="19">
        <f>T42+U40</f>
        <v/>
      </c>
      <c r="V42" s="19">
        <f>U42+V40</f>
        <v/>
      </c>
      <c r="W42" s="19">
        <f>V42+W40</f>
        <v/>
      </c>
      <c r="X42" s="19">
        <f>W42+X40</f>
        <v/>
      </c>
      <c r="Y42" s="19">
        <f>X42+Y40</f>
        <v/>
      </c>
      <c r="Z42" s="19">
        <f>Y42+Z40</f>
        <v/>
      </c>
      <c r="AA42" s="19">
        <f>Z42+AA40</f>
        <v/>
      </c>
      <c r="AB42" s="19">
        <f>AA42+AB40</f>
        <v/>
      </c>
      <c r="AC42" s="19">
        <f>AB42+AC40</f>
        <v/>
      </c>
      <c r="AD42" s="19">
        <f>AC42+AD40</f>
        <v/>
      </c>
      <c r="AE42" s="19">
        <f>AD42+AE40</f>
        <v/>
      </c>
      <c r="AF42" s="19">
        <f>AE42+AF40</f>
        <v/>
      </c>
      <c r="AG42" s="19">
        <f>AF42+AG40</f>
        <v/>
      </c>
      <c r="AH42" s="19">
        <f>AG42+AH40</f>
        <v/>
      </c>
      <c r="AI42" s="19">
        <f>AH42+AI40</f>
        <v/>
      </c>
      <c r="AJ42" s="19">
        <f>AI42+AJ40</f>
        <v/>
      </c>
      <c r="AK42" s="19">
        <f>AJ42+AK40</f>
        <v/>
      </c>
      <c r="AL42" s="19">
        <f>AK42+AL40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</cols>
  <sheetData>
    <row r="1">
      <c r="A1" s="1" t="inlineStr">
        <is>
          <t>UNIT ECONOMICS</t>
        </is>
      </c>
    </row>
    <row r="3">
      <c r="A3" s="3" t="inlineStr">
        <is>
          <t>Cost Component</t>
        </is>
      </c>
      <c r="B3" s="3" t="inlineStr">
        <is>
          <t>Per Contract</t>
        </is>
      </c>
      <c r="C3" s="3" t="inlineStr">
        <is>
          <t>Notes</t>
        </is>
      </c>
    </row>
    <row r="4">
      <c r="A4" s="21" t="inlineStr">
        <is>
          <t>Anthropic Haiku API</t>
        </is>
      </c>
      <c r="B4" s="22" t="n">
        <v>0.001</v>
      </c>
      <c r="C4" s="2" t="inlineStr">
        <is>
          <t>~1K input + 2K output tokens per contract</t>
        </is>
      </c>
    </row>
    <row r="5">
      <c r="A5" s="21" t="inlineStr">
        <is>
          <t>Base L2 cNFT Minting</t>
        </is>
      </c>
      <c r="B5" s="22" t="n">
        <v>0.01</v>
      </c>
      <c r="C5" s="2" t="inlineStr">
        <is>
          <t>Gas cost on Base mainnet</t>
        </is>
      </c>
    </row>
    <row r="6">
      <c r="A6" s="21" t="inlineStr">
        <is>
          <t>Supabase Storage</t>
        </is>
      </c>
      <c r="B6" s="22" t="n">
        <v>0.0001</v>
      </c>
      <c r="C6" s="2" t="inlineStr">
        <is>
          <t>Per row (contract + audit log)</t>
        </is>
      </c>
    </row>
    <row r="7">
      <c r="A7" s="21" t="inlineStr">
        <is>
          <t>Resend Transactional Email</t>
        </is>
      </c>
      <c r="B7" s="22" t="n">
        <v>0.0002</v>
      </c>
      <c r="C7" s="2" t="inlineStr">
        <is>
          <t>Notification emails per contract</t>
        </is>
      </c>
    </row>
    <row r="8">
      <c r="A8" s="23" t="inlineStr">
        <is>
          <t>Total Cost per Contract</t>
        </is>
      </c>
      <c r="B8" s="24">
        <f>SUM(B4:B7)</f>
        <v/>
      </c>
    </row>
    <row r="10">
      <c r="A10" s="25" t="inlineStr">
        <is>
          <t>Revenue per Contract (avg)</t>
        </is>
      </c>
      <c r="B10" s="26" t="n">
        <v>0.75</v>
      </c>
    </row>
    <row r="11">
      <c r="A11" s="27" t="inlineStr">
        <is>
          <t>Margin per Contract</t>
        </is>
      </c>
      <c r="B11" s="28">
        <f>B10-B8</f>
        <v/>
      </c>
    </row>
    <row r="12">
      <c r="A12" s="27" t="inlineStr">
        <is>
          <t>Margin %</t>
        </is>
      </c>
      <c r="B12" s="20">
        <f>B11/B10</f>
        <v/>
      </c>
    </row>
    <row r="14">
      <c r="A14" s="9" t="inlineStr">
        <is>
          <t>BREAK-EVEN ANALYSIS</t>
        </is>
      </c>
    </row>
    <row r="15">
      <c r="A15" t="inlineStr">
        <is>
          <t>Monthly Fixed Costs (at scale)</t>
        </is>
      </c>
      <c r="B15" s="18" t="n">
        <v>618</v>
      </c>
      <c r="C15" s="2" t="inlineStr">
        <is>
          <t>Vercel+Supabase+Resend+Domains+OMRA</t>
        </is>
      </c>
    </row>
    <row r="16">
      <c r="A16" s="29" t="inlineStr">
        <is>
          <t>Break-even Contracts/Month</t>
        </is>
      </c>
      <c r="B16" s="30">
        <f>ROUND(B15/B11,0)</f>
        <v/>
      </c>
    </row>
    <row r="17">
      <c r="A17" s="29" t="inlineStr">
        <is>
          <t>Break-even Developers (at 5 contracts/dev/mo)</t>
        </is>
      </c>
      <c r="B17" s="30">
        <f>ROUND(B16/5,0)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 ANALYSIS</t>
        </is>
      </c>
    </row>
    <row r="3">
      <c r="A3" s="3" t="inlineStr"/>
      <c r="B3" s="3" t="inlineStr">
        <is>
          <t>Conservative</t>
        </is>
      </c>
      <c r="C3" s="3" t="inlineStr">
        <is>
          <t>Base Case</t>
        </is>
      </c>
      <c r="D3" s="3" t="inlineStr">
        <is>
          <t>Optimistic</t>
        </is>
      </c>
    </row>
    <row r="5">
      <c r="A5" s="9" t="inlineStr">
        <is>
          <t>ASSUMPTIONS</t>
        </is>
      </c>
    </row>
    <row r="6">
      <c r="A6" s="4" t="inlineStr">
        <is>
          <t>Monthly dev growth</t>
        </is>
      </c>
      <c r="B6" s="31" t="n">
        <v>0.1</v>
      </c>
      <c r="C6" s="31" t="n">
        <v>0.15</v>
      </c>
      <c r="D6" s="31" t="n">
        <v>0.25</v>
      </c>
    </row>
    <row r="7">
      <c r="A7" s="4" t="inlineStr">
        <is>
          <t>Y1 enterprise deals</t>
        </is>
      </c>
      <c r="B7" s="32" t="n">
        <v>1</v>
      </c>
      <c r="C7" s="32" t="n">
        <v>3</v>
      </c>
      <c r="D7" s="32" t="n">
        <v>5</v>
      </c>
    </row>
    <row r="8">
      <c r="A8" s="4" t="inlineStr">
        <is>
          <t>Paid tier conversion</t>
        </is>
      </c>
      <c r="B8" s="31" t="n">
        <v>0.03</v>
      </c>
      <c r="C8" s="31" t="n">
        <v>0.04</v>
      </c>
      <c r="D8" s="31" t="n">
        <v>0.06</v>
      </c>
    </row>
    <row r="9">
      <c r="A9" s="4" t="inlineStr">
        <is>
          <t>Avg contract price</t>
        </is>
      </c>
      <c r="B9" s="33" t="n">
        <v>0.75</v>
      </c>
      <c r="C9" s="33" t="n">
        <v>0.75</v>
      </c>
      <c r="D9" s="33" t="n">
        <v>0.75</v>
      </c>
    </row>
    <row r="10">
      <c r="A10" s="4" t="inlineStr">
        <is>
          <t>Starting developers</t>
        </is>
      </c>
      <c r="B10" s="32" t="n">
        <v>50</v>
      </c>
      <c r="C10" s="32" t="n">
        <v>50</v>
      </c>
      <c r="D10" s="32" t="n">
        <v>50</v>
      </c>
    </row>
    <row r="12">
      <c r="A12" s="9" t="inlineStr">
        <is>
          <t>PROJECTIONS</t>
        </is>
      </c>
    </row>
    <row r="13">
      <c r="A13" s="21" t="inlineStr">
        <is>
          <t>Developers at Y1 (M12)</t>
        </is>
      </c>
      <c r="B13" s="11" t="n">
        <v>143</v>
      </c>
      <c r="C13" s="11" t="n">
        <v>233</v>
      </c>
      <c r="D13" s="11" t="n">
        <v>582</v>
      </c>
    </row>
    <row r="14">
      <c r="A14" s="21" t="inlineStr">
        <is>
          <t>Developers at Y2 (M24)</t>
        </is>
      </c>
      <c r="B14" s="11" t="n">
        <v>448</v>
      </c>
      <c r="C14" s="11" t="n">
        <v>1245</v>
      </c>
      <c r="D14" s="11" t="n">
        <v>8470</v>
      </c>
    </row>
    <row r="15">
      <c r="A15" s="21" t="inlineStr">
        <is>
          <t>Developers at Y3 (M36)</t>
        </is>
      </c>
      <c r="B15" s="11" t="n">
        <v>1405</v>
      </c>
      <c r="C15" s="11" t="n">
        <v>6659</v>
      </c>
      <c r="D15" s="11" t="n">
        <v>123260</v>
      </c>
    </row>
    <row r="16">
      <c r="A16" s="21" t="inlineStr"/>
    </row>
    <row r="17">
      <c r="A17" s="34" t="inlineStr">
        <is>
          <t>Y1 Revenue</t>
        </is>
      </c>
      <c r="B17" s="35" t="n">
        <v>80132</v>
      </c>
      <c r="C17" s="35" t="n">
        <v>166030</v>
      </c>
      <c r="D17" s="35" t="n">
        <v>197712</v>
      </c>
    </row>
    <row r="18">
      <c r="A18" s="34" t="inlineStr">
        <is>
          <t>Y2 Revenue</t>
        </is>
      </c>
      <c r="B18" s="35" t="n">
        <v>320920</v>
      </c>
      <c r="C18" s="35" t="n">
        <v>663437</v>
      </c>
      <c r="D18" s="35" t="n">
        <v>1356555</v>
      </c>
    </row>
    <row r="19">
      <c r="A19" s="34" t="inlineStr">
        <is>
          <t>Y3 Revenue</t>
        </is>
      </c>
      <c r="B19" s="35" t="n">
        <v>776062</v>
      </c>
      <c r="C19" s="35" t="n">
        <v>1874577</v>
      </c>
      <c r="D19" s="35" t="n">
        <v>9892492</v>
      </c>
    </row>
    <row r="20">
      <c r="A20" s="21" t="inlineStr"/>
    </row>
    <row r="21">
      <c r="A21" s="36" t="inlineStr">
        <is>
          <t>Y1 Expenses</t>
        </is>
      </c>
      <c r="B21" s="37" t="n">
        <v>4645</v>
      </c>
      <c r="C21" s="37" t="n">
        <v>4697</v>
      </c>
      <c r="D21" s="37" t="n">
        <v>4862</v>
      </c>
    </row>
    <row r="22">
      <c r="A22" s="36" t="inlineStr">
        <is>
          <t>Y2 Expenses</t>
        </is>
      </c>
      <c r="B22" s="37" t="n">
        <v>7485</v>
      </c>
      <c r="C22" s="37" t="n">
        <v>7950</v>
      </c>
      <c r="D22" s="37" t="n">
        <v>11618</v>
      </c>
    </row>
    <row r="23">
      <c r="A23" s="36" t="inlineStr">
        <is>
          <t>Y3 Expenses</t>
        </is>
      </c>
      <c r="B23" s="37" t="n">
        <v>8124</v>
      </c>
      <c r="C23" s="37" t="n">
        <v>11148</v>
      </c>
      <c r="D23" s="37" t="n">
        <v>70708</v>
      </c>
    </row>
    <row r="24">
      <c r="A24" s="21" t="inlineStr"/>
    </row>
    <row r="25">
      <c r="A25" s="27" t="inlineStr">
        <is>
          <t>Y1 Profit</t>
        </is>
      </c>
      <c r="B25" s="38" t="n">
        <v>75487</v>
      </c>
      <c r="C25" s="38" t="n">
        <v>161333</v>
      </c>
      <c r="D25" s="38" t="n">
        <v>192850</v>
      </c>
    </row>
    <row r="26">
      <c r="A26" s="27" t="inlineStr">
        <is>
          <t>Y2 Profit</t>
        </is>
      </c>
      <c r="B26" s="38" t="n">
        <v>313435</v>
      </c>
      <c r="C26" s="38" t="n">
        <v>655487</v>
      </c>
      <c r="D26" s="38" t="n">
        <v>1344937</v>
      </c>
    </row>
    <row r="27">
      <c r="A27" s="27" t="inlineStr">
        <is>
          <t>Y3 Profit</t>
        </is>
      </c>
      <c r="B27" s="38" t="n">
        <v>767938</v>
      </c>
      <c r="C27" s="38" t="n">
        <v>1863429</v>
      </c>
      <c r="D27" s="38" t="n">
        <v>9821784</v>
      </c>
    </row>
    <row r="28">
      <c r="A28" s="21" t="inlineStr"/>
    </row>
    <row r="29">
      <c r="A29" s="21" t="inlineStr">
        <is>
          <t>Profitability Month</t>
        </is>
      </c>
      <c r="B29" s="39" t="inlineStr">
        <is>
          <t>Month 1</t>
        </is>
      </c>
      <c r="C29" s="39" t="inlineStr">
        <is>
          <t>Month 1</t>
        </is>
      </c>
      <c r="D29" s="39" t="inlineStr">
        <is>
          <t>Month 1</t>
        </is>
      </c>
    </row>
    <row r="30">
      <c r="A30" s="27" t="inlineStr">
        <is>
          <t>36-Month Cumulative</t>
        </is>
      </c>
      <c r="B30" s="40" t="n">
        <v>1156860</v>
      </c>
      <c r="C30" s="40" t="n">
        <v>2680249</v>
      </c>
      <c r="D30" s="40" t="n">
        <v>11359571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16" customWidth="1" min="4" max="4"/>
    <col width="16" customWidth="1" min="5" max="5"/>
  </cols>
  <sheetData>
    <row r="1">
      <c r="A1" s="1" t="inlineStr">
        <is>
          <t>CURRENT STATE - April 2026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Notes</t>
        </is>
      </c>
    </row>
    <row r="4">
      <c r="A4" s="21" t="inlineStr">
        <is>
          <t>Active Developers</t>
        </is>
      </c>
      <c r="B4" s="41" t="n">
        <v>3</v>
      </c>
      <c r="C4" s="2" t="inlineStr">
        <is>
          <t>Team only (Ilvers, Dainis, Bruno)</t>
        </is>
      </c>
    </row>
    <row r="5">
      <c r="A5" s="21" t="inlineStr">
        <is>
          <t>Total Contracts Created</t>
        </is>
      </c>
      <c r="B5" s="41" t="n">
        <v>6</v>
      </c>
      <c r="C5" s="2" t="inlineStr">
        <is>
          <t>Test + demo contracts</t>
        </is>
      </c>
    </row>
    <row r="6">
      <c r="A6" s="21" t="inlineStr">
        <is>
          <t>Monthly Recurring Revenue</t>
        </is>
      </c>
      <c r="B6" s="42" t="n">
        <v>0</v>
      </c>
      <c r="C6" s="2" t="inlineStr">
        <is>
          <t>Pre-launch</t>
        </is>
      </c>
    </row>
    <row r="7">
      <c r="A7" s="21" t="inlineStr">
        <is>
          <t>Monthly Expenses</t>
        </is>
      </c>
      <c r="B7" s="42" t="n">
        <v>35</v>
      </c>
      <c r="C7" s="2" t="inlineStr">
        <is>
          <t>Domains ($3) + OMRA ($30) + misc ($2)</t>
        </is>
      </c>
    </row>
    <row r="8">
      <c r="A8" s="21" t="inlineStr">
        <is>
          <t>Monthly Burn Rate</t>
        </is>
      </c>
      <c r="B8" s="42" t="n">
        <v>35</v>
      </c>
      <c r="C8" s="2" t="inlineStr">
        <is>
          <t>All free tiers</t>
        </is>
      </c>
    </row>
    <row r="9">
      <c r="A9" s="21" t="inlineStr">
        <is>
          <t>Cash Runway</t>
        </is>
      </c>
      <c r="B9" s="43" t="inlineStr">
        <is>
          <t>Infinite</t>
        </is>
      </c>
      <c r="C9" s="2" t="inlineStr">
        <is>
          <t>No external funding needed yet</t>
        </is>
      </c>
    </row>
    <row r="11">
      <c r="A11" s="9" t="inlineStr">
        <is>
          <t>INFRASTRUCTURE COSTS AT SCALE</t>
        </is>
      </c>
    </row>
    <row r="12">
      <c r="A12" s="3" t="inlineStr">
        <is>
          <t>Service</t>
        </is>
      </c>
      <c r="B12" s="3" t="inlineStr">
        <is>
          <t>100 devs</t>
        </is>
      </c>
      <c r="C12" s="3" t="inlineStr">
        <is>
          <t>500 devs</t>
        </is>
      </c>
      <c r="D12" s="3" t="inlineStr">
        <is>
          <t>2,500 devs</t>
        </is>
      </c>
      <c r="E12" s="3" t="inlineStr">
        <is>
          <t>10,000 devs</t>
        </is>
      </c>
    </row>
    <row r="13">
      <c r="A13" s="21" t="inlineStr">
        <is>
          <t>Vercel</t>
        </is>
      </c>
      <c r="B13" s="44" t="n">
        <v>0</v>
      </c>
      <c r="C13" s="44" t="n">
        <v>20</v>
      </c>
      <c r="D13" s="44" t="n">
        <v>20</v>
      </c>
      <c r="E13" s="44" t="n">
        <v>150</v>
      </c>
    </row>
    <row r="14">
      <c r="A14" s="21" t="inlineStr">
        <is>
          <t>Supabase</t>
        </is>
      </c>
      <c r="B14" s="44" t="n">
        <v>0</v>
      </c>
      <c r="C14" s="44" t="n">
        <v>25</v>
      </c>
      <c r="D14" s="44" t="n">
        <v>25</v>
      </c>
      <c r="E14" s="44" t="n">
        <v>75</v>
      </c>
    </row>
    <row r="15">
      <c r="A15" s="21" t="inlineStr">
        <is>
          <t>Anthropic API</t>
        </is>
      </c>
      <c r="B15" s="44" t="n">
        <v>1</v>
      </c>
      <c r="C15" s="44" t="n">
        <v>10</v>
      </c>
      <c r="D15" s="44" t="n">
        <v>50</v>
      </c>
      <c r="E15" s="44" t="n">
        <v>200</v>
      </c>
    </row>
    <row r="16">
      <c r="A16" s="21" t="inlineStr">
        <is>
          <t>Base L2 Gas</t>
        </is>
      </c>
      <c r="B16" s="44" t="n">
        <v>1</v>
      </c>
      <c r="C16" s="44" t="n">
        <v>5</v>
      </c>
      <c r="D16" s="44" t="n">
        <v>25</v>
      </c>
      <c r="E16" s="44" t="n">
        <v>100</v>
      </c>
    </row>
    <row r="17">
      <c r="A17" s="21" t="inlineStr">
        <is>
          <t>Resend</t>
        </is>
      </c>
      <c r="B17" s="44" t="n">
        <v>0</v>
      </c>
      <c r="C17" s="44" t="n">
        <v>20</v>
      </c>
      <c r="D17" s="44" t="n">
        <v>20</v>
      </c>
      <c r="E17" s="44" t="n">
        <v>80</v>
      </c>
    </row>
    <row r="18">
      <c r="A18" s="21" t="inlineStr">
        <is>
          <t>Domains</t>
        </is>
      </c>
      <c r="B18" s="44" t="n">
        <v>3</v>
      </c>
      <c r="C18" s="44" t="n">
        <v>3</v>
      </c>
      <c r="D18" s="44" t="n">
        <v>3</v>
      </c>
      <c r="E18" s="44" t="n">
        <v>3</v>
      </c>
    </row>
    <row r="19">
      <c r="A19" s="21" t="inlineStr">
        <is>
          <t>OMRA Corp</t>
        </is>
      </c>
      <c r="B19" s="44" t="n">
        <v>30</v>
      </c>
      <c r="C19" s="44" t="n">
        <v>30</v>
      </c>
      <c r="D19" s="44" t="n">
        <v>30</v>
      </c>
      <c r="E19" s="44" t="n">
        <v>30</v>
      </c>
    </row>
    <row r="20">
      <c r="A20" s="21" t="inlineStr">
        <is>
          <t>Legal</t>
        </is>
      </c>
      <c r="B20" s="44" t="n">
        <v>0</v>
      </c>
      <c r="C20" s="44" t="n">
        <v>500</v>
      </c>
      <c r="D20" s="44" t="n">
        <v>500</v>
      </c>
      <c r="E20" s="44" t="n">
        <v>1000</v>
      </c>
    </row>
    <row r="21">
      <c r="A21" s="15" t="inlineStr">
        <is>
          <t>Total Monthly</t>
        </is>
      </c>
      <c r="B21" s="45">
        <f>SUM(B13:B20)</f>
        <v/>
      </c>
      <c r="C21" s="45">
        <f>SUM(C13:C20)</f>
        <v/>
      </c>
      <c r="D21" s="45">
        <f>SUM(D13:D20)</f>
        <v/>
      </c>
      <c r="E21" s="45">
        <f>SUM(E13:E20)</f>
        <v/>
      </c>
    </row>
    <row r="23">
      <c r="A23" s="9" t="inlineStr">
        <is>
          <t>FREE TIER LIMITS</t>
        </is>
      </c>
    </row>
    <row r="24">
      <c r="A24" s="3" t="inlineStr">
        <is>
          <t>Service</t>
        </is>
      </c>
      <c r="B24" s="3" t="inlineStr">
        <is>
          <t>Free Tier Limit</t>
        </is>
      </c>
      <c r="C24" s="3" t="inlineStr">
        <is>
          <t>When to Upgrade</t>
        </is>
      </c>
    </row>
    <row r="25">
      <c r="A25" s="21" t="inlineStr">
        <is>
          <t>Vercel Hobby</t>
        </is>
      </c>
      <c r="B25" s="2" t="inlineStr">
        <is>
          <t>Unlimited deploys, 100GB bandwidth</t>
        </is>
      </c>
      <c r="C25" s="2" t="inlineStr">
        <is>
          <t>Upgrade at ~500 devs</t>
        </is>
      </c>
    </row>
    <row r="26">
      <c r="A26" s="21" t="inlineStr">
        <is>
          <t>Supabase Free</t>
        </is>
      </c>
      <c r="B26" s="2" t="inlineStr">
        <is>
          <t>500MB DB, 50K auth users</t>
        </is>
      </c>
      <c r="C26" s="2" t="inlineStr">
        <is>
          <t>Upgrade at ~200 devs</t>
        </is>
      </c>
    </row>
    <row r="27">
      <c r="A27" s="21" t="inlineStr">
        <is>
          <t>Resend Free</t>
        </is>
      </c>
      <c r="B27" s="2" t="inlineStr">
        <is>
          <t>100 emails/day, 3K/month</t>
        </is>
      </c>
      <c r="C27" s="2" t="inlineStr">
        <is>
          <t>Upgrade at ~100 active users</t>
        </is>
      </c>
    </row>
    <row r="28">
      <c r="A28" s="21" t="inlineStr">
        <is>
          <t>ImprovMX Free</t>
        </is>
      </c>
      <c r="B28" s="2" t="inlineStr">
        <is>
          <t>Catch-all forwarding</t>
        </is>
      </c>
      <c r="C28" s="2" t="inlineStr">
        <is>
          <t>Sufficient indefinitely</t>
        </is>
      </c>
    </row>
    <row r="29">
      <c r="A29" s="21" t="inlineStr">
        <is>
          <t>Base L2</t>
        </is>
      </c>
      <c r="B29" s="2" t="inlineStr">
        <is>
          <t>Pay-per-tx only</t>
        </is>
      </c>
      <c r="C29" s="2" t="inlineStr">
        <is>
          <t>No free tier to exhaust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2026-04-13T13:20:34Z</dcterms:created>
  <dcterms:modified xmlns:dcterms="http://purl.org/dc/terms/" xmlns:xsi="http://www.w3.org/2001/XMLSchema-instance" xsi:type="dcterms:W3CDTF">2026-04-13T13:20:34Z</dcterms:modified>
</cp:coreProperties>
</file>